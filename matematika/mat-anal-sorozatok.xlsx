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\Documents\pp\"/>
    </mc:Choice>
  </mc:AlternateContent>
  <bookViews>
    <workbookView xWindow="0" yWindow="0" windowWidth="19200" windowHeight="10860" activeTab="1"/>
  </bookViews>
  <sheets>
    <sheet name="számtani" sheetId="1" r:id="rId1"/>
    <sheet name="mértani" sheetId="2" r:id="rId2"/>
    <sheet name="szamtani_diagram" sheetId="3" r:id="rId3"/>
    <sheet name="mertani_diagram" sheetId="4" r:id="rId4"/>
    <sheet name="mertani, szamtani diagra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4" i="2"/>
  <c r="B7" i="2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" i="1"/>
  <c r="F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  <c r="C25" i="1"/>
  <c r="G6" i="2"/>
  <c r="G7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" i="2"/>
  <c r="B6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4" i="2"/>
  <c r="B3" i="2"/>
  <c r="F7" i="1"/>
  <c r="B51" i="1"/>
  <c r="B52" i="1"/>
  <c r="B53" i="1" s="1"/>
  <c r="B54" i="1" s="1"/>
  <c r="B55" i="1" s="1"/>
  <c r="B56" i="1" s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4" i="1"/>
</calcChain>
</file>

<file path=xl/sharedStrings.xml><?xml version="1.0" encoding="utf-8"?>
<sst xmlns="http://schemas.openxmlformats.org/spreadsheetml/2006/main" count="14" uniqueCount="9">
  <si>
    <t>számtani sorozat</t>
  </si>
  <si>
    <t>n</t>
  </si>
  <si>
    <t>a</t>
  </si>
  <si>
    <t>Sn</t>
  </si>
  <si>
    <t>d</t>
  </si>
  <si>
    <t>s</t>
  </si>
  <si>
    <t>an</t>
  </si>
  <si>
    <t>Első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</si>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</sst>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Számtani</a:t>
            </a:r>
            <a:r>
              <a:rPr lang="hu-HU" baseline="0"/>
              <a:t> sorozat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számtani!$C$1:$C$2</c:f>
              <c:strCache>
                <c:ptCount val="2"/>
                <c:pt idx="1">
                  <c:v>Sn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számtani!$B$3:$B$56</c:f>
              <c:numCache>
                <c:formatCode>General</c:formatCode>
                <c:ptCount val="5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</c:numCache>
            </c:numRef>
          </c:xVal>
          <c:yVal>
            <c:numRef>
              <c:f>számtani!$C$3:$C$56</c:f>
              <c:numCache>
                <c:formatCode>General</c:formatCode>
                <c:ptCount val="54"/>
                <c:pt idx="0">
                  <c:v>10</c:v>
                </c:pt>
                <c:pt idx="1">
                  <c:v>30</c:v>
                </c:pt>
                <c:pt idx="2">
                  <c:v>75</c:v>
                </c:pt>
                <c:pt idx="3">
                  <c:v>140</c:v>
                </c:pt>
                <c:pt idx="4">
                  <c:v>225</c:v>
                </c:pt>
                <c:pt idx="5">
                  <c:v>330</c:v>
                </c:pt>
                <c:pt idx="6">
                  <c:v>455</c:v>
                </c:pt>
                <c:pt idx="7">
                  <c:v>600</c:v>
                </c:pt>
                <c:pt idx="8">
                  <c:v>765</c:v>
                </c:pt>
                <c:pt idx="9">
                  <c:v>950</c:v>
                </c:pt>
                <c:pt idx="10">
                  <c:v>1155</c:v>
                </c:pt>
                <c:pt idx="11">
                  <c:v>1380</c:v>
                </c:pt>
                <c:pt idx="12">
                  <c:v>1625</c:v>
                </c:pt>
                <c:pt idx="13">
                  <c:v>1890</c:v>
                </c:pt>
                <c:pt idx="14">
                  <c:v>2175</c:v>
                </c:pt>
                <c:pt idx="15">
                  <c:v>2480</c:v>
                </c:pt>
                <c:pt idx="16">
                  <c:v>2805</c:v>
                </c:pt>
                <c:pt idx="17">
                  <c:v>3150</c:v>
                </c:pt>
                <c:pt idx="18">
                  <c:v>3515</c:v>
                </c:pt>
                <c:pt idx="19">
                  <c:v>3900</c:v>
                </c:pt>
                <c:pt idx="20">
                  <c:v>4305</c:v>
                </c:pt>
                <c:pt idx="21">
                  <c:v>4730</c:v>
                </c:pt>
                <c:pt idx="22">
                  <c:v>2760</c:v>
                </c:pt>
                <c:pt idx="23">
                  <c:v>5640</c:v>
                </c:pt>
                <c:pt idx="24">
                  <c:v>6125</c:v>
                </c:pt>
                <c:pt idx="25">
                  <c:v>6630</c:v>
                </c:pt>
                <c:pt idx="26">
                  <c:v>7155</c:v>
                </c:pt>
                <c:pt idx="27">
                  <c:v>7700</c:v>
                </c:pt>
                <c:pt idx="28">
                  <c:v>8265</c:v>
                </c:pt>
                <c:pt idx="29">
                  <c:v>8850</c:v>
                </c:pt>
                <c:pt idx="30">
                  <c:v>9455</c:v>
                </c:pt>
                <c:pt idx="31">
                  <c:v>10080</c:v>
                </c:pt>
                <c:pt idx="32">
                  <c:v>10725</c:v>
                </c:pt>
                <c:pt idx="33">
                  <c:v>11390</c:v>
                </c:pt>
                <c:pt idx="34">
                  <c:v>12075</c:v>
                </c:pt>
                <c:pt idx="35">
                  <c:v>12780</c:v>
                </c:pt>
                <c:pt idx="36">
                  <c:v>13505</c:v>
                </c:pt>
                <c:pt idx="37">
                  <c:v>14250</c:v>
                </c:pt>
                <c:pt idx="38">
                  <c:v>15015</c:v>
                </c:pt>
                <c:pt idx="39">
                  <c:v>15800</c:v>
                </c:pt>
                <c:pt idx="40">
                  <c:v>16605</c:v>
                </c:pt>
                <c:pt idx="41">
                  <c:v>17430</c:v>
                </c:pt>
                <c:pt idx="42">
                  <c:v>9460</c:v>
                </c:pt>
                <c:pt idx="43">
                  <c:v>19140</c:v>
                </c:pt>
                <c:pt idx="44">
                  <c:v>20025</c:v>
                </c:pt>
                <c:pt idx="45">
                  <c:v>20930</c:v>
                </c:pt>
                <c:pt idx="46">
                  <c:v>21855</c:v>
                </c:pt>
                <c:pt idx="47">
                  <c:v>22800</c:v>
                </c:pt>
                <c:pt idx="48">
                  <c:v>23765</c:v>
                </c:pt>
                <c:pt idx="49">
                  <c:v>24750</c:v>
                </c:pt>
                <c:pt idx="50">
                  <c:v>25755</c:v>
                </c:pt>
                <c:pt idx="51">
                  <c:v>26780</c:v>
                </c:pt>
                <c:pt idx="52">
                  <c:v>27825</c:v>
                </c:pt>
                <c:pt idx="53">
                  <c:v>28890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3-4983-A1FB-18619C34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561167"/>
        <c:axId val="2032555343"/>
      </c:scatterChart>
      <c:valAx>
        <c:axId val="203256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2555343"/>
        <c:crosses val="autoZero"/>
        <c:crossBetween val="midCat"/>
      </c:valAx>
      <c:valAx>
        <c:axId val="2032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256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Mértani sor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mértani!$C$1</c:f>
              <c:strCache>
                <c:ptCount val="1"/>
                <c:pt idx="0">
                  <c:v>Sn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mértani!$B$2:$B$56</c:f>
              <c:numCache>
                <c:formatCode>General</c:formatCode>
                <c:ptCount val="5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  <c:pt idx="7">
                  <c:v>384</c:v>
                </c:pt>
                <c:pt idx="8">
                  <c:v>768</c:v>
                </c:pt>
                <c:pt idx="9">
                  <c:v>1536</c:v>
                </c:pt>
                <c:pt idx="10">
                  <c:v>3072</c:v>
                </c:pt>
                <c:pt idx="11">
                  <c:v>6144</c:v>
                </c:pt>
                <c:pt idx="12">
                  <c:v>12288</c:v>
                </c:pt>
                <c:pt idx="13">
                  <c:v>24576</c:v>
                </c:pt>
                <c:pt idx="14">
                  <c:v>49152</c:v>
                </c:pt>
                <c:pt idx="15">
                  <c:v>98304</c:v>
                </c:pt>
                <c:pt idx="16">
                  <c:v>196608</c:v>
                </c:pt>
                <c:pt idx="17">
                  <c:v>393216</c:v>
                </c:pt>
                <c:pt idx="18">
                  <c:v>786432</c:v>
                </c:pt>
                <c:pt idx="19">
                  <c:v>1572864</c:v>
                </c:pt>
                <c:pt idx="20">
                  <c:v>3145728</c:v>
                </c:pt>
                <c:pt idx="21">
                  <c:v>6291456</c:v>
                </c:pt>
                <c:pt idx="22">
                  <c:v>12582912</c:v>
                </c:pt>
                <c:pt idx="23">
                  <c:v>25165824</c:v>
                </c:pt>
                <c:pt idx="24">
                  <c:v>50331648</c:v>
                </c:pt>
                <c:pt idx="25">
                  <c:v>100663296</c:v>
                </c:pt>
                <c:pt idx="26">
                  <c:v>201326592</c:v>
                </c:pt>
                <c:pt idx="27">
                  <c:v>402653184</c:v>
                </c:pt>
                <c:pt idx="28">
                  <c:v>805306368</c:v>
                </c:pt>
                <c:pt idx="29">
                  <c:v>1610612736</c:v>
                </c:pt>
                <c:pt idx="30">
                  <c:v>3221225472</c:v>
                </c:pt>
                <c:pt idx="31">
                  <c:v>6442450944</c:v>
                </c:pt>
                <c:pt idx="32">
                  <c:v>12884901888</c:v>
                </c:pt>
                <c:pt idx="33">
                  <c:v>25769803776</c:v>
                </c:pt>
                <c:pt idx="34">
                  <c:v>51539607552</c:v>
                </c:pt>
                <c:pt idx="35">
                  <c:v>103079215104</c:v>
                </c:pt>
                <c:pt idx="36">
                  <c:v>206158430208</c:v>
                </c:pt>
                <c:pt idx="37">
                  <c:v>412316860416</c:v>
                </c:pt>
                <c:pt idx="38">
                  <c:v>824633720832</c:v>
                </c:pt>
                <c:pt idx="39">
                  <c:v>1649267441664</c:v>
                </c:pt>
                <c:pt idx="40">
                  <c:v>3298534883328</c:v>
                </c:pt>
                <c:pt idx="41">
                  <c:v>6597069766656</c:v>
                </c:pt>
                <c:pt idx="42">
                  <c:v>13194139533312</c:v>
                </c:pt>
                <c:pt idx="43">
                  <c:v>26388279066624</c:v>
                </c:pt>
                <c:pt idx="44">
                  <c:v>52776558133248</c:v>
                </c:pt>
                <c:pt idx="45">
                  <c:v>105553116266496</c:v>
                </c:pt>
                <c:pt idx="46">
                  <c:v>211106232532992</c:v>
                </c:pt>
                <c:pt idx="47">
                  <c:v>422212465065984</c:v>
                </c:pt>
                <c:pt idx="48">
                  <c:v>844424930131968</c:v>
                </c:pt>
                <c:pt idx="49">
                  <c:v>1688849860263936</c:v>
                </c:pt>
                <c:pt idx="50">
                  <c:v>3377699720527872</c:v>
                </c:pt>
                <c:pt idx="51">
                  <c:v>6755399441055744</c:v>
                </c:pt>
                <c:pt idx="52">
                  <c:v>1.3510798882111488E+16</c:v>
                </c:pt>
                <c:pt idx="53">
                  <c:v>2.7021597764222976E+16</c:v>
                </c:pt>
                <c:pt idx="54">
                  <c:v>5.4043195528445952E+16</c:v>
                </c:pt>
              </c:numCache>
            </c:numRef>
          </c:xVal>
          <c:yVal>
            <c:numRef>
              <c:f>mértani!$C$2:$C$56</c:f>
              <c:numCache>
                <c:formatCode>General</c:formatCode>
                <c:ptCount val="55"/>
                <c:pt idx="0">
                  <c:v>3</c:v>
                </c:pt>
                <c:pt idx="1">
                  <c:v>9</c:v>
                </c:pt>
                <c:pt idx="2">
                  <c:v>21</c:v>
                </c:pt>
                <c:pt idx="3">
                  <c:v>45</c:v>
                </c:pt>
                <c:pt idx="4">
                  <c:v>93</c:v>
                </c:pt>
                <c:pt idx="5">
                  <c:v>189</c:v>
                </c:pt>
                <c:pt idx="6">
                  <c:v>381</c:v>
                </c:pt>
                <c:pt idx="7">
                  <c:v>765</c:v>
                </c:pt>
                <c:pt idx="8">
                  <c:v>1533</c:v>
                </c:pt>
                <c:pt idx="9">
                  <c:v>3069</c:v>
                </c:pt>
                <c:pt idx="10">
                  <c:v>6141</c:v>
                </c:pt>
                <c:pt idx="11">
                  <c:v>12285</c:v>
                </c:pt>
                <c:pt idx="12">
                  <c:v>24573</c:v>
                </c:pt>
                <c:pt idx="13">
                  <c:v>49149</c:v>
                </c:pt>
                <c:pt idx="14">
                  <c:v>98301</c:v>
                </c:pt>
                <c:pt idx="15">
                  <c:v>196605</c:v>
                </c:pt>
                <c:pt idx="16">
                  <c:v>393213</c:v>
                </c:pt>
                <c:pt idx="17">
                  <c:v>786429</c:v>
                </c:pt>
                <c:pt idx="18">
                  <c:v>1572861</c:v>
                </c:pt>
                <c:pt idx="19">
                  <c:v>3145725</c:v>
                </c:pt>
                <c:pt idx="20">
                  <c:v>6291453</c:v>
                </c:pt>
                <c:pt idx="21">
                  <c:v>12582909</c:v>
                </c:pt>
                <c:pt idx="22">
                  <c:v>25165821</c:v>
                </c:pt>
                <c:pt idx="23">
                  <c:v>50331645</c:v>
                </c:pt>
                <c:pt idx="24">
                  <c:v>100663293</c:v>
                </c:pt>
                <c:pt idx="25">
                  <c:v>201326589</c:v>
                </c:pt>
                <c:pt idx="26">
                  <c:v>402653181</c:v>
                </c:pt>
                <c:pt idx="27">
                  <c:v>805306365</c:v>
                </c:pt>
                <c:pt idx="28">
                  <c:v>1610612733</c:v>
                </c:pt>
                <c:pt idx="29">
                  <c:v>3221225469</c:v>
                </c:pt>
                <c:pt idx="30">
                  <c:v>6442450941</c:v>
                </c:pt>
                <c:pt idx="31">
                  <c:v>12884901885</c:v>
                </c:pt>
                <c:pt idx="32">
                  <c:v>25769803773</c:v>
                </c:pt>
                <c:pt idx="33">
                  <c:v>51539607549</c:v>
                </c:pt>
                <c:pt idx="34">
                  <c:v>103079215101</c:v>
                </c:pt>
                <c:pt idx="35">
                  <c:v>206158430205</c:v>
                </c:pt>
                <c:pt idx="36">
                  <c:v>412316860413</c:v>
                </c:pt>
                <c:pt idx="37">
                  <c:v>824633720829</c:v>
                </c:pt>
                <c:pt idx="38">
                  <c:v>1649267441661</c:v>
                </c:pt>
                <c:pt idx="39">
                  <c:v>3298534883325</c:v>
                </c:pt>
                <c:pt idx="40">
                  <c:v>6597069766653</c:v>
                </c:pt>
                <c:pt idx="41">
                  <c:v>13194139533309</c:v>
                </c:pt>
                <c:pt idx="42">
                  <c:v>26388279066621</c:v>
                </c:pt>
                <c:pt idx="43">
                  <c:v>52776558133245</c:v>
                </c:pt>
                <c:pt idx="44">
                  <c:v>105553116266493</c:v>
                </c:pt>
                <c:pt idx="45">
                  <c:v>211106232532989</c:v>
                </c:pt>
                <c:pt idx="46">
                  <c:v>422212465065981</c:v>
                </c:pt>
                <c:pt idx="47">
                  <c:v>844424930131965</c:v>
                </c:pt>
                <c:pt idx="48">
                  <c:v>1688849860263933</c:v>
                </c:pt>
                <c:pt idx="49">
                  <c:v>3377699720527869</c:v>
                </c:pt>
                <c:pt idx="50">
                  <c:v>6755399441055741</c:v>
                </c:pt>
                <c:pt idx="51">
                  <c:v>1.3510798882111484E+16</c:v>
                </c:pt>
                <c:pt idx="52">
                  <c:v>2.7021597764222972E+16</c:v>
                </c:pt>
                <c:pt idx="53">
                  <c:v>5.4043195528445952E+16</c:v>
                </c:pt>
                <c:pt idx="54">
                  <c:v>1.080863910568919E+17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E-45B6-B416-B450AD501DA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34658223"/>
        <c:axId val="2034660719"/>
      </c:scatterChart>
      <c:valAx>
        <c:axId val="203465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4660719"/>
        <c:crosses val="autoZero"/>
        <c:crossBetween val="midCat"/>
      </c:valAx>
      <c:valAx>
        <c:axId val="203466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4658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mértani!$B$1</c:f>
              <c:strCache>
                <c:ptCount val="1"/>
                <c:pt idx="0">
                  <c:v>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mértani!$A$2:$A$56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mértani!$B$2:$B$56</c:f>
              <c:numCache>
                <c:formatCode>General</c:formatCode>
                <c:ptCount val="55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  <c:pt idx="7">
                  <c:v>384</c:v>
                </c:pt>
                <c:pt idx="8">
                  <c:v>768</c:v>
                </c:pt>
                <c:pt idx="9">
                  <c:v>1536</c:v>
                </c:pt>
                <c:pt idx="10">
                  <c:v>3072</c:v>
                </c:pt>
                <c:pt idx="11">
                  <c:v>6144</c:v>
                </c:pt>
                <c:pt idx="12">
                  <c:v>12288</c:v>
                </c:pt>
                <c:pt idx="13">
                  <c:v>24576</c:v>
                </c:pt>
                <c:pt idx="14">
                  <c:v>49152</c:v>
                </c:pt>
                <c:pt idx="15">
                  <c:v>98304</c:v>
                </c:pt>
                <c:pt idx="16">
                  <c:v>196608</c:v>
                </c:pt>
                <c:pt idx="17">
                  <c:v>393216</c:v>
                </c:pt>
                <c:pt idx="18">
                  <c:v>786432</c:v>
                </c:pt>
                <c:pt idx="19">
                  <c:v>1572864</c:v>
                </c:pt>
                <c:pt idx="20">
                  <c:v>3145728</c:v>
                </c:pt>
                <c:pt idx="21">
                  <c:v>6291456</c:v>
                </c:pt>
                <c:pt idx="22">
                  <c:v>12582912</c:v>
                </c:pt>
                <c:pt idx="23">
                  <c:v>25165824</c:v>
                </c:pt>
                <c:pt idx="24">
                  <c:v>50331648</c:v>
                </c:pt>
                <c:pt idx="25">
                  <c:v>100663296</c:v>
                </c:pt>
                <c:pt idx="26">
                  <c:v>201326592</c:v>
                </c:pt>
                <c:pt idx="27">
                  <c:v>402653184</c:v>
                </c:pt>
                <c:pt idx="28">
                  <c:v>805306368</c:v>
                </c:pt>
                <c:pt idx="29">
                  <c:v>1610612736</c:v>
                </c:pt>
                <c:pt idx="30">
                  <c:v>3221225472</c:v>
                </c:pt>
                <c:pt idx="31">
                  <c:v>6442450944</c:v>
                </c:pt>
                <c:pt idx="32">
                  <c:v>12884901888</c:v>
                </c:pt>
                <c:pt idx="33">
                  <c:v>25769803776</c:v>
                </c:pt>
                <c:pt idx="34">
                  <c:v>51539607552</c:v>
                </c:pt>
                <c:pt idx="35">
                  <c:v>103079215104</c:v>
                </c:pt>
                <c:pt idx="36">
                  <c:v>206158430208</c:v>
                </c:pt>
                <c:pt idx="37">
                  <c:v>412316860416</c:v>
                </c:pt>
                <c:pt idx="38">
                  <c:v>824633720832</c:v>
                </c:pt>
                <c:pt idx="39">
                  <c:v>1649267441664</c:v>
                </c:pt>
                <c:pt idx="40">
                  <c:v>3298534883328</c:v>
                </c:pt>
                <c:pt idx="41">
                  <c:v>6597069766656</c:v>
                </c:pt>
                <c:pt idx="42">
                  <c:v>13194139533312</c:v>
                </c:pt>
                <c:pt idx="43">
                  <c:v>26388279066624</c:v>
                </c:pt>
                <c:pt idx="44">
                  <c:v>52776558133248</c:v>
                </c:pt>
                <c:pt idx="45">
                  <c:v>105553116266496</c:v>
                </c:pt>
                <c:pt idx="46">
                  <c:v>211106232532992</c:v>
                </c:pt>
                <c:pt idx="47">
                  <c:v>422212465065984</c:v>
                </c:pt>
                <c:pt idx="48">
                  <c:v>844424930131968</c:v>
                </c:pt>
                <c:pt idx="49">
                  <c:v>1688849860263936</c:v>
                </c:pt>
                <c:pt idx="50">
                  <c:v>3377699720527872</c:v>
                </c:pt>
                <c:pt idx="51">
                  <c:v>6755399441055744</c:v>
                </c:pt>
                <c:pt idx="52">
                  <c:v>1.3510798882111488E+16</c:v>
                </c:pt>
                <c:pt idx="53">
                  <c:v>2.7021597764222976E+16</c:v>
                </c:pt>
                <c:pt idx="54">
                  <c:v>5.4043195528445952E+16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6-41FB-9892-33B0AF686DE1}"/>
            </c:ext>
          </c:extLst>
        </c:ser>
        <c:ser>
          <c:idx val="1"/>
          <c:order val="1"/>
          <c:tx>
            <c:strRef>
              <c:f>mértani!$C$1</c:f>
              <c:strCache>
                <c:ptCount val="1"/>
                <c:pt idx="0">
                  <c:v>Sn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mértani!$A$2:$A$56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</c:numCache>
            </c:numRef>
          </c:xVal>
          <c:yVal>
            <c:numRef>
              <c:f>mértani!$C$2:$C$56</c:f>
              <c:numCache>
                <c:formatCode>General</c:formatCode>
                <c:ptCount val="55"/>
                <c:pt idx="0">
                  <c:v>3</c:v>
                </c:pt>
                <c:pt idx="1">
                  <c:v>9</c:v>
                </c:pt>
                <c:pt idx="2">
                  <c:v>21</c:v>
                </c:pt>
                <c:pt idx="3">
                  <c:v>45</c:v>
                </c:pt>
                <c:pt idx="4">
                  <c:v>93</c:v>
                </c:pt>
                <c:pt idx="5">
                  <c:v>189</c:v>
                </c:pt>
                <c:pt idx="6">
                  <c:v>381</c:v>
                </c:pt>
                <c:pt idx="7">
                  <c:v>765</c:v>
                </c:pt>
                <c:pt idx="8">
                  <c:v>1533</c:v>
                </c:pt>
                <c:pt idx="9">
                  <c:v>3069</c:v>
                </c:pt>
                <c:pt idx="10">
                  <c:v>6141</c:v>
                </c:pt>
                <c:pt idx="11">
                  <c:v>12285</c:v>
                </c:pt>
                <c:pt idx="12">
                  <c:v>24573</c:v>
                </c:pt>
                <c:pt idx="13">
                  <c:v>49149</c:v>
                </c:pt>
                <c:pt idx="14">
                  <c:v>98301</c:v>
                </c:pt>
                <c:pt idx="15">
                  <c:v>196605</c:v>
                </c:pt>
                <c:pt idx="16">
                  <c:v>393213</c:v>
                </c:pt>
                <c:pt idx="17">
                  <c:v>786429</c:v>
                </c:pt>
                <c:pt idx="18">
                  <c:v>1572861</c:v>
                </c:pt>
                <c:pt idx="19">
                  <c:v>3145725</c:v>
                </c:pt>
                <c:pt idx="20">
                  <c:v>6291453</c:v>
                </c:pt>
                <c:pt idx="21">
                  <c:v>12582909</c:v>
                </c:pt>
                <c:pt idx="22">
                  <c:v>25165821</c:v>
                </c:pt>
                <c:pt idx="23">
                  <c:v>50331645</c:v>
                </c:pt>
                <c:pt idx="24">
                  <c:v>100663293</c:v>
                </c:pt>
                <c:pt idx="25">
                  <c:v>201326589</c:v>
                </c:pt>
                <c:pt idx="26">
                  <c:v>402653181</c:v>
                </c:pt>
                <c:pt idx="27">
                  <c:v>805306365</c:v>
                </c:pt>
                <c:pt idx="28">
                  <c:v>1610612733</c:v>
                </c:pt>
                <c:pt idx="29">
                  <c:v>3221225469</c:v>
                </c:pt>
                <c:pt idx="30">
                  <c:v>6442450941</c:v>
                </c:pt>
                <c:pt idx="31">
                  <c:v>12884901885</c:v>
                </c:pt>
                <c:pt idx="32">
                  <c:v>25769803773</c:v>
                </c:pt>
                <c:pt idx="33">
                  <c:v>51539607549</c:v>
                </c:pt>
                <c:pt idx="34">
                  <c:v>103079215101</c:v>
                </c:pt>
                <c:pt idx="35">
                  <c:v>206158430205</c:v>
                </c:pt>
                <c:pt idx="36">
                  <c:v>412316860413</c:v>
                </c:pt>
                <c:pt idx="37">
                  <c:v>824633720829</c:v>
                </c:pt>
                <c:pt idx="38">
                  <c:v>1649267441661</c:v>
                </c:pt>
                <c:pt idx="39">
                  <c:v>3298534883325</c:v>
                </c:pt>
                <c:pt idx="40">
                  <c:v>6597069766653</c:v>
                </c:pt>
                <c:pt idx="41">
                  <c:v>13194139533309</c:v>
                </c:pt>
                <c:pt idx="42">
                  <c:v>26388279066621</c:v>
                </c:pt>
                <c:pt idx="43">
                  <c:v>52776558133245</c:v>
                </c:pt>
                <c:pt idx="44">
                  <c:v>105553116266493</c:v>
                </c:pt>
                <c:pt idx="45">
                  <c:v>211106232532989</c:v>
                </c:pt>
                <c:pt idx="46">
                  <c:v>422212465065981</c:v>
                </c:pt>
                <c:pt idx="47">
                  <c:v>844424930131965</c:v>
                </c:pt>
                <c:pt idx="48">
                  <c:v>1688849860263933</c:v>
                </c:pt>
                <c:pt idx="49">
                  <c:v>3377699720527869</c:v>
                </c:pt>
                <c:pt idx="50">
                  <c:v>6755399441055741</c:v>
                </c:pt>
                <c:pt idx="51">
                  <c:v>1.3510798882111484E+16</c:v>
                </c:pt>
                <c:pt idx="52">
                  <c:v>2.7021597764222972E+16</c:v>
                </c:pt>
                <c:pt idx="53">
                  <c:v>5.4043195528445952E+16</c:v>
                </c:pt>
                <c:pt idx="54">
                  <c:v>1.080863910568919E+17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46-41FB-9892-33B0AF686D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30738015"/>
        <c:axId val="2030752575"/>
      </c:scatterChart>
      <c:valAx>
        <c:axId val="203073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0752575"/>
        <c:crosses val="autoZero"/>
        <c:crossBetween val="midCat"/>
      </c:valAx>
      <c:valAx>
        <c:axId val="20307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30738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20</xdr:col>
      <xdr:colOff>0</xdr:colOff>
      <xdr:row>21</xdr:row>
      <xdr:rowOff>161925</xdr:rowOff>
    </xdr:to>
    <xdr:pic>
      <xdr:nvPicPr>
        <xdr:cNvPr id="2" name="Kép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025" y="2095500"/>
          <a:ext cx="6096000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533400</xdr:colOff>
      <xdr:row>4</xdr:row>
      <xdr:rowOff>104775</xdr:rowOff>
    </xdr:from>
    <xdr:to>
      <xdr:col>18</xdr:col>
      <xdr:colOff>533400</xdr:colOff>
      <xdr:row>15</xdr:row>
      <xdr:rowOff>76200</xdr:rowOff>
    </xdr:to>
    <xdr:pic>
      <xdr:nvPicPr>
        <xdr:cNvPr id="2" name="Kép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0700" y="866775"/>
          <a:ext cx="6096000" cy="2066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</xdr:row>
      <xdr:rowOff>76200</xdr:rowOff>
    </xdr:from>
    <xdr:to>
      <xdr:col>8</xdr:col>
      <xdr:colOff>428625</xdr:colOff>
      <xdr:row>17</xdr:row>
      <xdr:rowOff>152400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2</xdr:row>
      <xdr:rowOff>57150</xdr:rowOff>
    </xdr:from>
    <xdr:to>
      <xdr:col>13</xdr:col>
      <xdr:colOff>352425</xdr:colOff>
      <xdr:row>36</xdr:row>
      <xdr:rowOff>38100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6</xdr:row>
      <xdr:rowOff>76200</xdr:rowOff>
    </xdr:from>
    <xdr:to>
      <xdr:col>11</xdr:col>
      <xdr:colOff>438150</xdr:colOff>
      <xdr:row>24</xdr:row>
      <xdr:rowOff>76200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activeCell="C54" sqref="C54"/>
    </sheetView>
  </sheetViews>
  <sheetFormatPr defaultRowHeight="15" x14ac:dyDescent="0.25"/>
  <cols>
    <col min="4" max="4" width="13.85546875" customWidth="1"/>
    <col min="5" max="5" width="6.28515625" customWidth="1"/>
    <col min="6" max="6" width="10.28515625" bestFit="1" customWidth="1"/>
  </cols>
  <sheetData>
    <row r="1" spans="1:6" x14ac:dyDescent="0.25">
      <c r="A1" s="1" t="s">
        <v>0</v>
      </c>
      <c r="B1" s="1"/>
      <c r="C1" s="1"/>
    </row>
    <row r="2" spans="1:6" x14ac:dyDescent="0.25">
      <c r="A2" t="s">
        <v>1</v>
      </c>
      <c r="B2" t="s">
        <v>2</v>
      </c>
      <c r="C2" t="s">
        <v>3</v>
      </c>
    </row>
    <row r="3" spans="1:6" x14ac:dyDescent="0.25">
      <c r="A3">
        <v>1</v>
      </c>
      <c r="B3">
        <v>10</v>
      </c>
      <c r="C3">
        <v>10</v>
      </c>
      <c r="E3" t="s">
        <v>4</v>
      </c>
      <c r="F3">
        <v>10</v>
      </c>
    </row>
    <row r="4" spans="1:6" x14ac:dyDescent="0.25">
      <c r="A4">
        <v>2</v>
      </c>
      <c r="B4">
        <f>B3+$F$3</f>
        <v>20</v>
      </c>
      <c r="C4">
        <f>A4*(B3+B4)/2</f>
        <v>30</v>
      </c>
    </row>
    <row r="5" spans="1:6" x14ac:dyDescent="0.25">
      <c r="A5">
        <v>3</v>
      </c>
      <c r="B5">
        <f t="shared" ref="B5:B56" si="0">B4+$F$3</f>
        <v>30</v>
      </c>
      <c r="C5">
        <f>A5*(B4+B5)/2</f>
        <v>75</v>
      </c>
    </row>
    <row r="6" spans="1:6" x14ac:dyDescent="0.25">
      <c r="A6">
        <v>4</v>
      </c>
      <c r="B6">
        <f t="shared" si="0"/>
        <v>40</v>
      </c>
      <c r="C6">
        <f t="shared" ref="C5:C56" si="1">A6*(B5+B6)/2</f>
        <v>140</v>
      </c>
      <c r="D6" s="2" t="s">
        <v>5</v>
      </c>
      <c r="E6">
        <v>1</v>
      </c>
      <c r="F6">
        <f>E6*($B$3+E6)/2</f>
        <v>5.5</v>
      </c>
    </row>
    <row r="7" spans="1:6" x14ac:dyDescent="0.25">
      <c r="A7">
        <v>5</v>
      </c>
      <c r="B7">
        <f t="shared" si="0"/>
        <v>50</v>
      </c>
      <c r="C7">
        <f t="shared" si="1"/>
        <v>225</v>
      </c>
      <c r="D7" s="2" t="s">
        <v>2</v>
      </c>
      <c r="E7">
        <v>50</v>
      </c>
      <c r="F7">
        <f>VLOOKUP(E7,A:C,2,FALSE)</f>
        <v>500</v>
      </c>
    </row>
    <row r="8" spans="1:6" x14ac:dyDescent="0.25">
      <c r="A8">
        <v>6</v>
      </c>
      <c r="B8">
        <f t="shared" si="0"/>
        <v>60</v>
      </c>
      <c r="C8">
        <f t="shared" si="1"/>
        <v>330</v>
      </c>
    </row>
    <row r="9" spans="1:6" x14ac:dyDescent="0.25">
      <c r="A9">
        <v>7</v>
      </c>
      <c r="B9">
        <f t="shared" si="0"/>
        <v>70</v>
      </c>
      <c r="C9">
        <f t="shared" si="1"/>
        <v>455</v>
      </c>
    </row>
    <row r="10" spans="1:6" x14ac:dyDescent="0.25">
      <c r="A10">
        <v>8</v>
      </c>
      <c r="B10">
        <f t="shared" si="0"/>
        <v>80</v>
      </c>
      <c r="C10">
        <f t="shared" si="1"/>
        <v>600</v>
      </c>
    </row>
    <row r="11" spans="1:6" x14ac:dyDescent="0.25">
      <c r="A11">
        <v>9</v>
      </c>
      <c r="B11">
        <f t="shared" si="0"/>
        <v>90</v>
      </c>
      <c r="C11">
        <f t="shared" si="1"/>
        <v>765</v>
      </c>
    </row>
    <row r="12" spans="1:6" x14ac:dyDescent="0.25">
      <c r="A12">
        <v>10</v>
      </c>
      <c r="B12">
        <f t="shared" si="0"/>
        <v>100</v>
      </c>
      <c r="C12">
        <f t="shared" si="1"/>
        <v>950</v>
      </c>
    </row>
    <row r="13" spans="1:6" x14ac:dyDescent="0.25">
      <c r="A13">
        <v>11</v>
      </c>
      <c r="B13">
        <f t="shared" si="0"/>
        <v>110</v>
      </c>
      <c r="C13">
        <f t="shared" si="1"/>
        <v>1155</v>
      </c>
    </row>
    <row r="14" spans="1:6" x14ac:dyDescent="0.25">
      <c r="A14">
        <v>12</v>
      </c>
      <c r="B14">
        <f t="shared" si="0"/>
        <v>120</v>
      </c>
      <c r="C14">
        <f t="shared" si="1"/>
        <v>1380</v>
      </c>
    </row>
    <row r="15" spans="1:6" x14ac:dyDescent="0.25">
      <c r="A15">
        <v>13</v>
      </c>
      <c r="B15">
        <f t="shared" si="0"/>
        <v>130</v>
      </c>
      <c r="C15">
        <f t="shared" si="1"/>
        <v>1625</v>
      </c>
    </row>
    <row r="16" spans="1:6" x14ac:dyDescent="0.25">
      <c r="A16">
        <v>14</v>
      </c>
      <c r="B16">
        <f t="shared" si="0"/>
        <v>140</v>
      </c>
      <c r="C16">
        <f t="shared" si="1"/>
        <v>1890</v>
      </c>
    </row>
    <row r="17" spans="1:3" x14ac:dyDescent="0.25">
      <c r="A17">
        <v>15</v>
      </c>
      <c r="B17">
        <f t="shared" si="0"/>
        <v>150</v>
      </c>
      <c r="C17">
        <f t="shared" si="1"/>
        <v>2175</v>
      </c>
    </row>
    <row r="18" spans="1:3" x14ac:dyDescent="0.25">
      <c r="A18">
        <v>16</v>
      </c>
      <c r="B18">
        <f t="shared" si="0"/>
        <v>160</v>
      </c>
      <c r="C18">
        <f t="shared" si="1"/>
        <v>2480</v>
      </c>
    </row>
    <row r="19" spans="1:3" x14ac:dyDescent="0.25">
      <c r="A19">
        <v>17</v>
      </c>
      <c r="B19">
        <f t="shared" si="0"/>
        <v>170</v>
      </c>
      <c r="C19">
        <f t="shared" si="1"/>
        <v>2805</v>
      </c>
    </row>
    <row r="20" spans="1:3" x14ac:dyDescent="0.25">
      <c r="A20">
        <v>18</v>
      </c>
      <c r="B20">
        <f t="shared" si="0"/>
        <v>180</v>
      </c>
      <c r="C20">
        <f t="shared" si="1"/>
        <v>3150</v>
      </c>
    </row>
    <row r="21" spans="1:3" x14ac:dyDescent="0.25">
      <c r="A21">
        <v>19</v>
      </c>
      <c r="B21">
        <f t="shared" si="0"/>
        <v>190</v>
      </c>
      <c r="C21">
        <f t="shared" si="1"/>
        <v>3515</v>
      </c>
    </row>
    <row r="22" spans="1:3" x14ac:dyDescent="0.25">
      <c r="A22">
        <v>20</v>
      </c>
      <c r="B22">
        <f t="shared" si="0"/>
        <v>200</v>
      </c>
      <c r="C22">
        <f t="shared" si="1"/>
        <v>3900</v>
      </c>
    </row>
    <row r="23" spans="1:3" x14ac:dyDescent="0.25">
      <c r="A23">
        <v>21</v>
      </c>
      <c r="B23">
        <f t="shared" si="0"/>
        <v>210</v>
      </c>
      <c r="C23">
        <f t="shared" si="1"/>
        <v>4305</v>
      </c>
    </row>
    <row r="24" spans="1:3" x14ac:dyDescent="0.25">
      <c r="A24">
        <v>22</v>
      </c>
      <c r="B24">
        <f t="shared" si="0"/>
        <v>220</v>
      </c>
      <c r="C24">
        <f t="shared" si="1"/>
        <v>4730</v>
      </c>
    </row>
    <row r="25" spans="1:3" x14ac:dyDescent="0.25">
      <c r="A25">
        <v>23</v>
      </c>
      <c r="B25">
        <f t="shared" si="0"/>
        <v>230</v>
      </c>
      <c r="C25">
        <f>SUM($B$3:$B25)</f>
        <v>2760</v>
      </c>
    </row>
    <row r="26" spans="1:3" x14ac:dyDescent="0.25">
      <c r="A26">
        <v>24</v>
      </c>
      <c r="B26">
        <f t="shared" si="0"/>
        <v>240</v>
      </c>
      <c r="C26">
        <f t="shared" si="1"/>
        <v>5640</v>
      </c>
    </row>
    <row r="27" spans="1:3" x14ac:dyDescent="0.25">
      <c r="A27">
        <v>25</v>
      </c>
      <c r="B27">
        <f t="shared" si="0"/>
        <v>250</v>
      </c>
      <c r="C27">
        <f t="shared" si="1"/>
        <v>6125</v>
      </c>
    </row>
    <row r="28" spans="1:3" x14ac:dyDescent="0.25">
      <c r="A28">
        <v>26</v>
      </c>
      <c r="B28">
        <f t="shared" si="0"/>
        <v>260</v>
      </c>
      <c r="C28">
        <f t="shared" si="1"/>
        <v>6630</v>
      </c>
    </row>
    <row r="29" spans="1:3" x14ac:dyDescent="0.25">
      <c r="A29">
        <v>27</v>
      </c>
      <c r="B29">
        <f t="shared" si="0"/>
        <v>270</v>
      </c>
      <c r="C29">
        <f t="shared" si="1"/>
        <v>7155</v>
      </c>
    </row>
    <row r="30" spans="1:3" x14ac:dyDescent="0.25">
      <c r="A30">
        <v>28</v>
      </c>
      <c r="B30">
        <f t="shared" si="0"/>
        <v>280</v>
      </c>
      <c r="C30">
        <f t="shared" si="1"/>
        <v>7700</v>
      </c>
    </row>
    <row r="31" spans="1:3" x14ac:dyDescent="0.25">
      <c r="A31">
        <v>29</v>
      </c>
      <c r="B31">
        <f t="shared" si="0"/>
        <v>290</v>
      </c>
      <c r="C31">
        <f t="shared" si="1"/>
        <v>8265</v>
      </c>
    </row>
    <row r="32" spans="1:3" x14ac:dyDescent="0.25">
      <c r="A32">
        <v>30</v>
      </c>
      <c r="B32">
        <f t="shared" si="0"/>
        <v>300</v>
      </c>
      <c r="C32">
        <f t="shared" si="1"/>
        <v>8850</v>
      </c>
    </row>
    <row r="33" spans="1:3" x14ac:dyDescent="0.25">
      <c r="A33">
        <v>31</v>
      </c>
      <c r="B33">
        <f t="shared" si="0"/>
        <v>310</v>
      </c>
      <c r="C33">
        <f t="shared" si="1"/>
        <v>9455</v>
      </c>
    </row>
    <row r="34" spans="1:3" x14ac:dyDescent="0.25">
      <c r="A34">
        <v>32</v>
      </c>
      <c r="B34">
        <f t="shared" si="0"/>
        <v>320</v>
      </c>
      <c r="C34">
        <f t="shared" si="1"/>
        <v>10080</v>
      </c>
    </row>
    <row r="35" spans="1:3" x14ac:dyDescent="0.25">
      <c r="A35">
        <v>33</v>
      </c>
      <c r="B35">
        <f t="shared" si="0"/>
        <v>330</v>
      </c>
      <c r="C35">
        <f t="shared" si="1"/>
        <v>10725</v>
      </c>
    </row>
    <row r="36" spans="1:3" x14ac:dyDescent="0.25">
      <c r="A36">
        <v>34</v>
      </c>
      <c r="B36">
        <f t="shared" si="0"/>
        <v>340</v>
      </c>
      <c r="C36">
        <f t="shared" si="1"/>
        <v>11390</v>
      </c>
    </row>
    <row r="37" spans="1:3" x14ac:dyDescent="0.25">
      <c r="A37">
        <v>35</v>
      </c>
      <c r="B37">
        <f t="shared" si="0"/>
        <v>350</v>
      </c>
      <c r="C37">
        <f t="shared" si="1"/>
        <v>12075</v>
      </c>
    </row>
    <row r="38" spans="1:3" x14ac:dyDescent="0.25">
      <c r="A38">
        <v>36</v>
      </c>
      <c r="B38">
        <f t="shared" si="0"/>
        <v>360</v>
      </c>
      <c r="C38">
        <f t="shared" si="1"/>
        <v>12780</v>
      </c>
    </row>
    <row r="39" spans="1:3" x14ac:dyDescent="0.25">
      <c r="A39">
        <v>37</v>
      </c>
      <c r="B39">
        <f t="shared" si="0"/>
        <v>370</v>
      </c>
      <c r="C39">
        <f t="shared" si="1"/>
        <v>13505</v>
      </c>
    </row>
    <row r="40" spans="1:3" x14ac:dyDescent="0.25">
      <c r="A40">
        <v>38</v>
      </c>
      <c r="B40">
        <f t="shared" si="0"/>
        <v>380</v>
      </c>
      <c r="C40">
        <f t="shared" si="1"/>
        <v>14250</v>
      </c>
    </row>
    <row r="41" spans="1:3" x14ac:dyDescent="0.25">
      <c r="A41">
        <v>39</v>
      </c>
      <c r="B41">
        <f t="shared" si="0"/>
        <v>390</v>
      </c>
      <c r="C41">
        <f t="shared" si="1"/>
        <v>15015</v>
      </c>
    </row>
    <row r="42" spans="1:3" x14ac:dyDescent="0.25">
      <c r="A42">
        <v>40</v>
      </c>
      <c r="B42">
        <f t="shared" si="0"/>
        <v>400</v>
      </c>
      <c r="C42">
        <f t="shared" si="1"/>
        <v>15800</v>
      </c>
    </row>
    <row r="43" spans="1:3" x14ac:dyDescent="0.25">
      <c r="A43">
        <v>41</v>
      </c>
      <c r="B43">
        <f t="shared" si="0"/>
        <v>410</v>
      </c>
      <c r="C43">
        <f t="shared" si="1"/>
        <v>16605</v>
      </c>
    </row>
    <row r="44" spans="1:3" x14ac:dyDescent="0.25">
      <c r="A44">
        <v>42</v>
      </c>
      <c r="B44">
        <f t="shared" si="0"/>
        <v>420</v>
      </c>
      <c r="C44">
        <f t="shared" si="1"/>
        <v>17430</v>
      </c>
    </row>
    <row r="45" spans="1:3" x14ac:dyDescent="0.25">
      <c r="A45">
        <v>43</v>
      </c>
      <c r="B45">
        <f t="shared" si="0"/>
        <v>430</v>
      </c>
      <c r="C45">
        <f>SUM($B$3:$B45)</f>
        <v>9460</v>
      </c>
    </row>
    <row r="46" spans="1:3" x14ac:dyDescent="0.25">
      <c r="A46">
        <v>44</v>
      </c>
      <c r="B46">
        <f t="shared" si="0"/>
        <v>440</v>
      </c>
      <c r="C46">
        <f t="shared" si="1"/>
        <v>19140</v>
      </c>
    </row>
    <row r="47" spans="1:3" x14ac:dyDescent="0.25">
      <c r="A47">
        <v>45</v>
      </c>
      <c r="B47">
        <f t="shared" si="0"/>
        <v>450</v>
      </c>
      <c r="C47">
        <f t="shared" si="1"/>
        <v>20025</v>
      </c>
    </row>
    <row r="48" spans="1:3" x14ac:dyDescent="0.25">
      <c r="A48">
        <v>46</v>
      </c>
      <c r="B48">
        <f t="shared" si="0"/>
        <v>460</v>
      </c>
      <c r="C48">
        <f t="shared" si="1"/>
        <v>20930</v>
      </c>
    </row>
    <row r="49" spans="1:3" x14ac:dyDescent="0.25">
      <c r="A49">
        <v>47</v>
      </c>
      <c r="B49">
        <f t="shared" si="0"/>
        <v>470</v>
      </c>
      <c r="C49">
        <f t="shared" si="1"/>
        <v>21855</v>
      </c>
    </row>
    <row r="50" spans="1:3" x14ac:dyDescent="0.25">
      <c r="A50">
        <v>48</v>
      </c>
      <c r="B50">
        <f t="shared" si="0"/>
        <v>480</v>
      </c>
      <c r="C50">
        <f t="shared" si="1"/>
        <v>22800</v>
      </c>
    </row>
    <row r="51" spans="1:3" x14ac:dyDescent="0.25">
      <c r="A51">
        <v>49</v>
      </c>
      <c r="B51">
        <f t="shared" si="0"/>
        <v>490</v>
      </c>
      <c r="C51">
        <f t="shared" si="1"/>
        <v>23765</v>
      </c>
    </row>
    <row r="52" spans="1:3" x14ac:dyDescent="0.25">
      <c r="A52">
        <v>50</v>
      </c>
      <c r="B52">
        <f t="shared" si="0"/>
        <v>500</v>
      </c>
      <c r="C52">
        <f t="shared" si="1"/>
        <v>24750</v>
      </c>
    </row>
    <row r="53" spans="1:3" x14ac:dyDescent="0.25">
      <c r="A53">
        <v>51</v>
      </c>
      <c r="B53">
        <f t="shared" si="0"/>
        <v>510</v>
      </c>
      <c r="C53">
        <f t="shared" si="1"/>
        <v>25755</v>
      </c>
    </row>
    <row r="54" spans="1:3" x14ac:dyDescent="0.25">
      <c r="A54">
        <v>52</v>
      </c>
      <c r="B54">
        <f t="shared" si="0"/>
        <v>520</v>
      </c>
      <c r="C54">
        <f t="shared" si="1"/>
        <v>26780</v>
      </c>
    </row>
    <row r="55" spans="1:3" x14ac:dyDescent="0.25">
      <c r="A55">
        <v>53</v>
      </c>
      <c r="B55">
        <f t="shared" si="0"/>
        <v>530</v>
      </c>
      <c r="C55">
        <f t="shared" si="1"/>
        <v>27825</v>
      </c>
    </row>
    <row r="56" spans="1:3" x14ac:dyDescent="0.25">
      <c r="A56">
        <v>54</v>
      </c>
      <c r="B56">
        <f t="shared" si="0"/>
        <v>540</v>
      </c>
      <c r="C56">
        <f t="shared" si="1"/>
        <v>28890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abSelected="1" workbookViewId="0">
      <selection activeCell="C4" sqref="C4"/>
    </sheetView>
  </sheetViews>
  <sheetFormatPr defaultRowHeight="15" x14ac:dyDescent="0.25"/>
  <cols>
    <col min="2" max="2" width="12" bestFit="1" customWidth="1"/>
  </cols>
  <sheetData>
    <row r="1" spans="1:7" x14ac:dyDescent="0.25">
      <c r="A1" t="s">
        <v>1</v>
      </c>
      <c r="B1" t="s">
        <v>6</v>
      </c>
      <c r="C1" t="s">
        <v>3</v>
      </c>
    </row>
    <row r="2" spans="1:7" x14ac:dyDescent="0.25">
      <c r="A2">
        <v>1</v>
      </c>
      <c r="B2">
        <v>3</v>
      </c>
      <c r="C2">
        <v>3</v>
      </c>
      <c r="E2" t="s">
        <v>7</v>
      </c>
      <c r="F2">
        <v>3</v>
      </c>
    </row>
    <row r="3" spans="1:7" x14ac:dyDescent="0.25">
      <c r="A3">
        <v>2</v>
      </c>
      <c r="B3">
        <f>B2*F3</f>
        <v>6</v>
      </c>
      <c r="C3">
        <f>$B$2*($F$3^A3-1)/($F$3-1)</f>
        <v>9</v>
      </c>
      <c r="E3" t="s">
        <v>8</v>
      </c>
      <c r="F3">
        <v>2</v>
      </c>
    </row>
    <row r="4" spans="1:7" x14ac:dyDescent="0.25">
      <c r="A4">
        <v>3</v>
      </c>
      <c r="B4">
        <f>$B$2*$F$3^($A4-1)</f>
        <v>12</v>
      </c>
      <c r="C4">
        <f>$B$2*(($F$3^A4)-1)/($F$3-1)</f>
        <v>21</v>
      </c>
    </row>
    <row r="5" spans="1:7" x14ac:dyDescent="0.25">
      <c r="A5">
        <v>4</v>
      </c>
      <c r="B5">
        <f t="shared" ref="B5:B56" si="0">$B$2*$F$3^($A5-1)</f>
        <v>24</v>
      </c>
      <c r="C5">
        <f t="shared" ref="C5:C56" si="1">$B$2*(($F$3^A5)-1)/($F$3-1)</f>
        <v>45</v>
      </c>
    </row>
    <row r="6" spans="1:7" x14ac:dyDescent="0.25">
      <c r="A6">
        <v>5</v>
      </c>
      <c r="B6">
        <f t="shared" si="0"/>
        <v>48</v>
      </c>
      <c r="C6">
        <f t="shared" si="1"/>
        <v>93</v>
      </c>
      <c r="E6" t="s">
        <v>2</v>
      </c>
      <c r="F6">
        <v>15</v>
      </c>
      <c r="G6">
        <f>B2*F3^(F7-1)</f>
        <v>6</v>
      </c>
    </row>
    <row r="7" spans="1:7" x14ac:dyDescent="0.25">
      <c r="A7">
        <v>6</v>
      </c>
      <c r="B7">
        <f>$B$2*$F$3^($A7-1)</f>
        <v>96</v>
      </c>
      <c r="C7">
        <f t="shared" si="1"/>
        <v>189</v>
      </c>
      <c r="E7" t="s">
        <v>5</v>
      </c>
      <c r="F7">
        <v>2</v>
      </c>
      <c r="G7">
        <f>$B$2*(((F3^F7)-1)/F3-1)</f>
        <v>1.5</v>
      </c>
    </row>
    <row r="8" spans="1:7" x14ac:dyDescent="0.25">
      <c r="A8">
        <v>7</v>
      </c>
      <c r="B8">
        <f t="shared" si="0"/>
        <v>192</v>
      </c>
      <c r="C8">
        <f t="shared" si="1"/>
        <v>381</v>
      </c>
    </row>
    <row r="9" spans="1:7" x14ac:dyDescent="0.25">
      <c r="A9">
        <v>8</v>
      </c>
      <c r="B9">
        <f t="shared" si="0"/>
        <v>384</v>
      </c>
      <c r="C9">
        <f t="shared" si="1"/>
        <v>765</v>
      </c>
    </row>
    <row r="10" spans="1:7" x14ac:dyDescent="0.25">
      <c r="A10">
        <v>9</v>
      </c>
      <c r="B10">
        <f t="shared" si="0"/>
        <v>768</v>
      </c>
      <c r="C10">
        <f t="shared" si="1"/>
        <v>1533</v>
      </c>
    </row>
    <row r="11" spans="1:7" x14ac:dyDescent="0.25">
      <c r="A11">
        <v>10</v>
      </c>
      <c r="B11">
        <f t="shared" si="0"/>
        <v>1536</v>
      </c>
      <c r="C11">
        <f t="shared" si="1"/>
        <v>3069</v>
      </c>
    </row>
    <row r="12" spans="1:7" x14ac:dyDescent="0.25">
      <c r="A12">
        <v>11</v>
      </c>
      <c r="B12">
        <f t="shared" si="0"/>
        <v>3072</v>
      </c>
      <c r="C12">
        <f t="shared" si="1"/>
        <v>6141</v>
      </c>
    </row>
    <row r="13" spans="1:7" x14ac:dyDescent="0.25">
      <c r="A13">
        <v>12</v>
      </c>
      <c r="B13">
        <f t="shared" si="0"/>
        <v>6144</v>
      </c>
      <c r="C13">
        <f t="shared" si="1"/>
        <v>12285</v>
      </c>
    </row>
    <row r="14" spans="1:7" x14ac:dyDescent="0.25">
      <c r="A14">
        <v>13</v>
      </c>
      <c r="B14">
        <f t="shared" si="0"/>
        <v>12288</v>
      </c>
      <c r="C14">
        <f t="shared" si="1"/>
        <v>24573</v>
      </c>
    </row>
    <row r="15" spans="1:7" x14ac:dyDescent="0.25">
      <c r="A15">
        <v>14</v>
      </c>
      <c r="B15">
        <f t="shared" si="0"/>
        <v>24576</v>
      </c>
      <c r="C15">
        <f t="shared" si="1"/>
        <v>49149</v>
      </c>
    </row>
    <row r="16" spans="1:7" x14ac:dyDescent="0.25">
      <c r="A16">
        <v>15</v>
      </c>
      <c r="B16">
        <f t="shared" si="0"/>
        <v>49152</v>
      </c>
      <c r="C16">
        <f t="shared" si="1"/>
        <v>98301</v>
      </c>
    </row>
    <row r="17" spans="1:3" x14ac:dyDescent="0.25">
      <c r="A17">
        <v>16</v>
      </c>
      <c r="B17">
        <f t="shared" si="0"/>
        <v>98304</v>
      </c>
      <c r="C17">
        <f t="shared" si="1"/>
        <v>196605</v>
      </c>
    </row>
    <row r="18" spans="1:3" x14ac:dyDescent="0.25">
      <c r="A18">
        <v>17</v>
      </c>
      <c r="B18">
        <f t="shared" si="0"/>
        <v>196608</v>
      </c>
      <c r="C18">
        <f t="shared" si="1"/>
        <v>393213</v>
      </c>
    </row>
    <row r="19" spans="1:3" x14ac:dyDescent="0.25">
      <c r="A19">
        <v>18</v>
      </c>
      <c r="B19">
        <f t="shared" si="0"/>
        <v>393216</v>
      </c>
      <c r="C19">
        <f t="shared" si="1"/>
        <v>786429</v>
      </c>
    </row>
    <row r="20" spans="1:3" x14ac:dyDescent="0.25">
      <c r="A20">
        <v>19</v>
      </c>
      <c r="B20">
        <f t="shared" si="0"/>
        <v>786432</v>
      </c>
      <c r="C20">
        <f t="shared" si="1"/>
        <v>1572861</v>
      </c>
    </row>
    <row r="21" spans="1:3" x14ac:dyDescent="0.25">
      <c r="A21">
        <v>20</v>
      </c>
      <c r="B21">
        <f t="shared" si="0"/>
        <v>1572864</v>
      </c>
      <c r="C21">
        <f t="shared" si="1"/>
        <v>3145725</v>
      </c>
    </row>
    <row r="22" spans="1:3" x14ac:dyDescent="0.25">
      <c r="A22">
        <v>21</v>
      </c>
      <c r="B22">
        <f t="shared" si="0"/>
        <v>3145728</v>
      </c>
      <c r="C22">
        <f t="shared" si="1"/>
        <v>6291453</v>
      </c>
    </row>
    <row r="23" spans="1:3" x14ac:dyDescent="0.25">
      <c r="A23">
        <v>22</v>
      </c>
      <c r="B23">
        <f t="shared" si="0"/>
        <v>6291456</v>
      </c>
      <c r="C23">
        <f t="shared" si="1"/>
        <v>12582909</v>
      </c>
    </row>
    <row r="24" spans="1:3" x14ac:dyDescent="0.25">
      <c r="A24">
        <v>23</v>
      </c>
      <c r="B24">
        <f t="shared" si="0"/>
        <v>12582912</v>
      </c>
      <c r="C24">
        <f t="shared" si="1"/>
        <v>25165821</v>
      </c>
    </row>
    <row r="25" spans="1:3" x14ac:dyDescent="0.25">
      <c r="A25">
        <v>24</v>
      </c>
      <c r="B25">
        <f t="shared" si="0"/>
        <v>25165824</v>
      </c>
      <c r="C25">
        <f t="shared" si="1"/>
        <v>50331645</v>
      </c>
    </row>
    <row r="26" spans="1:3" x14ac:dyDescent="0.25">
      <c r="A26">
        <v>25</v>
      </c>
      <c r="B26">
        <f t="shared" si="0"/>
        <v>50331648</v>
      </c>
      <c r="C26">
        <f t="shared" si="1"/>
        <v>100663293</v>
      </c>
    </row>
    <row r="27" spans="1:3" x14ac:dyDescent="0.25">
      <c r="A27">
        <v>26</v>
      </c>
      <c r="B27">
        <f t="shared" si="0"/>
        <v>100663296</v>
      </c>
      <c r="C27">
        <f t="shared" si="1"/>
        <v>201326589</v>
      </c>
    </row>
    <row r="28" spans="1:3" x14ac:dyDescent="0.25">
      <c r="A28">
        <v>27</v>
      </c>
      <c r="B28">
        <f t="shared" si="0"/>
        <v>201326592</v>
      </c>
      <c r="C28">
        <f t="shared" si="1"/>
        <v>402653181</v>
      </c>
    </row>
    <row r="29" spans="1:3" x14ac:dyDescent="0.25">
      <c r="A29">
        <v>28</v>
      </c>
      <c r="B29">
        <f t="shared" si="0"/>
        <v>402653184</v>
      </c>
      <c r="C29">
        <f t="shared" si="1"/>
        <v>805306365</v>
      </c>
    </row>
    <row r="30" spans="1:3" x14ac:dyDescent="0.25">
      <c r="A30">
        <v>29</v>
      </c>
      <c r="B30">
        <f t="shared" si="0"/>
        <v>805306368</v>
      </c>
      <c r="C30">
        <f t="shared" si="1"/>
        <v>1610612733</v>
      </c>
    </row>
    <row r="31" spans="1:3" x14ac:dyDescent="0.25">
      <c r="A31">
        <v>30</v>
      </c>
      <c r="B31">
        <f t="shared" si="0"/>
        <v>1610612736</v>
      </c>
      <c r="C31">
        <f t="shared" si="1"/>
        <v>3221225469</v>
      </c>
    </row>
    <row r="32" spans="1:3" x14ac:dyDescent="0.25">
      <c r="A32">
        <v>31</v>
      </c>
      <c r="B32">
        <f t="shared" si="0"/>
        <v>3221225472</v>
      </c>
      <c r="C32">
        <f t="shared" si="1"/>
        <v>6442450941</v>
      </c>
    </row>
    <row r="33" spans="1:3" x14ac:dyDescent="0.25">
      <c r="A33">
        <v>32</v>
      </c>
      <c r="B33">
        <f t="shared" si="0"/>
        <v>6442450944</v>
      </c>
      <c r="C33">
        <f t="shared" si="1"/>
        <v>12884901885</v>
      </c>
    </row>
    <row r="34" spans="1:3" x14ac:dyDescent="0.25">
      <c r="A34">
        <v>33</v>
      </c>
      <c r="B34">
        <f t="shared" si="0"/>
        <v>12884901888</v>
      </c>
      <c r="C34">
        <f t="shared" si="1"/>
        <v>25769803773</v>
      </c>
    </row>
    <row r="35" spans="1:3" x14ac:dyDescent="0.25">
      <c r="A35">
        <v>34</v>
      </c>
      <c r="B35">
        <f t="shared" si="0"/>
        <v>25769803776</v>
      </c>
      <c r="C35">
        <f t="shared" si="1"/>
        <v>51539607549</v>
      </c>
    </row>
    <row r="36" spans="1:3" x14ac:dyDescent="0.25">
      <c r="A36">
        <v>35</v>
      </c>
      <c r="B36">
        <f t="shared" si="0"/>
        <v>51539607552</v>
      </c>
      <c r="C36">
        <f t="shared" si="1"/>
        <v>103079215101</v>
      </c>
    </row>
    <row r="37" spans="1:3" x14ac:dyDescent="0.25">
      <c r="A37">
        <v>36</v>
      </c>
      <c r="B37">
        <f t="shared" si="0"/>
        <v>103079215104</v>
      </c>
      <c r="C37">
        <f t="shared" si="1"/>
        <v>206158430205</v>
      </c>
    </row>
    <row r="38" spans="1:3" x14ac:dyDescent="0.25">
      <c r="A38">
        <v>37</v>
      </c>
      <c r="B38">
        <f t="shared" si="0"/>
        <v>206158430208</v>
      </c>
      <c r="C38">
        <f t="shared" si="1"/>
        <v>412316860413</v>
      </c>
    </row>
    <row r="39" spans="1:3" x14ac:dyDescent="0.25">
      <c r="A39">
        <v>38</v>
      </c>
      <c r="B39">
        <f t="shared" si="0"/>
        <v>412316860416</v>
      </c>
      <c r="C39">
        <f t="shared" si="1"/>
        <v>824633720829</v>
      </c>
    </row>
    <row r="40" spans="1:3" x14ac:dyDescent="0.25">
      <c r="A40">
        <v>39</v>
      </c>
      <c r="B40">
        <f t="shared" si="0"/>
        <v>824633720832</v>
      </c>
      <c r="C40">
        <f t="shared" si="1"/>
        <v>1649267441661</v>
      </c>
    </row>
    <row r="41" spans="1:3" x14ac:dyDescent="0.25">
      <c r="A41">
        <v>40</v>
      </c>
      <c r="B41">
        <f t="shared" si="0"/>
        <v>1649267441664</v>
      </c>
      <c r="C41">
        <f t="shared" si="1"/>
        <v>3298534883325</v>
      </c>
    </row>
    <row r="42" spans="1:3" x14ac:dyDescent="0.25">
      <c r="A42">
        <v>41</v>
      </c>
      <c r="B42">
        <f t="shared" si="0"/>
        <v>3298534883328</v>
      </c>
      <c r="C42">
        <f t="shared" si="1"/>
        <v>6597069766653</v>
      </c>
    </row>
    <row r="43" spans="1:3" x14ac:dyDescent="0.25">
      <c r="A43">
        <v>42</v>
      </c>
      <c r="B43">
        <f t="shared" si="0"/>
        <v>6597069766656</v>
      </c>
      <c r="C43">
        <f t="shared" si="1"/>
        <v>13194139533309</v>
      </c>
    </row>
    <row r="44" spans="1:3" x14ac:dyDescent="0.25">
      <c r="A44">
        <v>43</v>
      </c>
      <c r="B44">
        <f t="shared" si="0"/>
        <v>13194139533312</v>
      </c>
      <c r="C44">
        <f t="shared" si="1"/>
        <v>26388279066621</v>
      </c>
    </row>
    <row r="45" spans="1:3" x14ac:dyDescent="0.25">
      <c r="A45">
        <v>44</v>
      </c>
      <c r="B45">
        <f t="shared" si="0"/>
        <v>26388279066624</v>
      </c>
      <c r="C45">
        <f t="shared" si="1"/>
        <v>52776558133245</v>
      </c>
    </row>
    <row r="46" spans="1:3" x14ac:dyDescent="0.25">
      <c r="A46">
        <v>45</v>
      </c>
      <c r="B46">
        <f t="shared" si="0"/>
        <v>52776558133248</v>
      </c>
      <c r="C46">
        <f t="shared" si="1"/>
        <v>105553116266493</v>
      </c>
    </row>
    <row r="47" spans="1:3" x14ac:dyDescent="0.25">
      <c r="A47">
        <v>46</v>
      </c>
      <c r="B47">
        <f t="shared" si="0"/>
        <v>105553116266496</v>
      </c>
      <c r="C47">
        <f t="shared" si="1"/>
        <v>211106232532989</v>
      </c>
    </row>
    <row r="48" spans="1:3" x14ac:dyDescent="0.25">
      <c r="A48">
        <v>47</v>
      </c>
      <c r="B48">
        <f t="shared" si="0"/>
        <v>211106232532992</v>
      </c>
      <c r="C48">
        <f t="shared" si="1"/>
        <v>422212465065981</v>
      </c>
    </row>
    <row r="49" spans="1:3" x14ac:dyDescent="0.25">
      <c r="A49">
        <v>48</v>
      </c>
      <c r="B49">
        <f t="shared" si="0"/>
        <v>422212465065984</v>
      </c>
      <c r="C49">
        <f t="shared" si="1"/>
        <v>844424930131965</v>
      </c>
    </row>
    <row r="50" spans="1:3" x14ac:dyDescent="0.25">
      <c r="A50">
        <v>49</v>
      </c>
      <c r="B50">
        <f t="shared" si="0"/>
        <v>844424930131968</v>
      </c>
      <c r="C50">
        <f t="shared" si="1"/>
        <v>1688849860263933</v>
      </c>
    </row>
    <row r="51" spans="1:3" x14ac:dyDescent="0.25">
      <c r="A51">
        <v>50</v>
      </c>
      <c r="B51">
        <f t="shared" si="0"/>
        <v>1688849860263936</v>
      </c>
      <c r="C51">
        <f t="shared" si="1"/>
        <v>3377699720527869</v>
      </c>
    </row>
    <row r="52" spans="1:3" x14ac:dyDescent="0.25">
      <c r="A52">
        <v>51</v>
      </c>
      <c r="B52">
        <f t="shared" si="0"/>
        <v>3377699720527872</v>
      </c>
      <c r="C52">
        <f t="shared" si="1"/>
        <v>6755399441055741</v>
      </c>
    </row>
    <row r="53" spans="1:3" x14ac:dyDescent="0.25">
      <c r="A53">
        <v>52</v>
      </c>
      <c r="B53">
        <f t="shared" si="0"/>
        <v>6755399441055744</v>
      </c>
      <c r="C53">
        <f t="shared" si="1"/>
        <v>1.3510798882111484E+16</v>
      </c>
    </row>
    <row r="54" spans="1:3" x14ac:dyDescent="0.25">
      <c r="A54">
        <v>53</v>
      </c>
      <c r="B54">
        <f t="shared" si="0"/>
        <v>1.3510798882111488E+16</v>
      </c>
      <c r="C54">
        <f t="shared" si="1"/>
        <v>2.7021597764222972E+16</v>
      </c>
    </row>
    <row r="55" spans="1:3" x14ac:dyDescent="0.25">
      <c r="A55">
        <v>54</v>
      </c>
      <c r="B55">
        <f t="shared" si="0"/>
        <v>2.7021597764222976E+16</v>
      </c>
      <c r="C55">
        <f t="shared" si="1"/>
        <v>5.4043195528445952E+16</v>
      </c>
    </row>
    <row r="56" spans="1:3" x14ac:dyDescent="0.25">
      <c r="A56">
        <v>55</v>
      </c>
      <c r="B56">
        <f t="shared" si="0"/>
        <v>5.4043195528445952E+16</v>
      </c>
      <c r="C56">
        <f t="shared" si="1"/>
        <v>1.080863910568919E+17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2" sqref="K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" sqref="L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számtani</vt:lpstr>
      <vt:lpstr>mértani</vt:lpstr>
      <vt:lpstr>szamtani_diagram</vt:lpstr>
      <vt:lpstr>mertani_diagram</vt:lpstr>
      <vt:lpstr>mertani, szamtani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2026-09-23T10:39:58Z</dcterms:created>
  <dcterms:modified xsi:type="dcterms:W3CDTF">2026-09-23T11:54:35Z</dcterms:modified>
</cp:coreProperties>
</file>