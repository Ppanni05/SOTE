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u\Downloads\"/>
    </mc:Choice>
  </mc:AlternateContent>
  <bookViews>
    <workbookView xWindow="0" yWindow="0" windowWidth="19200" windowHeight="10860"/>
  </bookViews>
  <sheets>
    <sheet name="Feladványok" sheetId="6" r:id="rId1"/>
    <sheet name="Naptár" sheetId="8" r:id="rId2"/>
  </sheets>
  <definedNames>
    <definedName name="_xlnm._FilterDatabase" localSheetId="0" hidden="1">Feladványok!$C$17:$C$396</definedName>
    <definedName name="_xlnm._FilterDatabase" localSheetId="1" hidden="1">Naptár!$E$1:$E$372</definedName>
    <definedName name="_xlnm.Extract" localSheetId="0">Feladványok!$C$12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6" i="6" l="1"/>
  <c r="F48" i="6" s="1"/>
  <c r="G46" i="6"/>
  <c r="G48" i="6" s="1"/>
  <c r="H46" i="6"/>
  <c r="H48" i="6" s="1"/>
  <c r="I46" i="6"/>
  <c r="I48" i="6" s="1"/>
  <c r="J46" i="6"/>
  <c r="J48" i="6" s="1"/>
  <c r="K46" i="6"/>
  <c r="K48" i="6" s="1"/>
  <c r="L46" i="6"/>
  <c r="L48" i="6" s="1"/>
  <c r="E46" i="6"/>
  <c r="E48" i="6" s="1"/>
  <c r="A50" i="6" s="1"/>
  <c r="B24" i="6"/>
  <c r="C8" i="6"/>
  <c r="C9" i="6" s="1"/>
  <c r="F50" i="6" l="1"/>
  <c r="C54" i="6"/>
  <c r="D8" i="8"/>
  <c r="E8" i="8" s="1"/>
  <c r="D344" i="8" l="1"/>
  <c r="E344" i="8" s="1"/>
  <c r="D303" i="8"/>
  <c r="E303" i="8" s="1"/>
  <c r="D239" i="8"/>
  <c r="E239" i="8" s="1"/>
  <c r="D372" i="8"/>
  <c r="E372" i="8" s="1"/>
  <c r="D319" i="8"/>
  <c r="E319" i="8" s="1"/>
  <c r="D276" i="8"/>
  <c r="E276" i="8" s="1"/>
  <c r="D255" i="8"/>
  <c r="E255" i="8" s="1"/>
  <c r="D234" i="8"/>
  <c r="E234" i="8" s="1"/>
  <c r="D212" i="8"/>
  <c r="E212" i="8" s="1"/>
  <c r="D191" i="8"/>
  <c r="E191" i="8" s="1"/>
  <c r="D360" i="8"/>
  <c r="E360" i="8" s="1"/>
  <c r="D324" i="8"/>
  <c r="E324" i="8" s="1"/>
  <c r="D282" i="8"/>
  <c r="E282" i="8" s="1"/>
  <c r="D260" i="8"/>
  <c r="E260" i="8" s="1"/>
  <c r="D218" i="8"/>
  <c r="E218" i="8" s="1"/>
  <c r="D196" i="8"/>
  <c r="E196" i="8" s="1"/>
  <c r="D356" i="8"/>
  <c r="E356" i="8" s="1"/>
  <c r="D340" i="8"/>
  <c r="E340" i="8" s="1"/>
  <c r="D298" i="8"/>
  <c r="E298" i="8" s="1"/>
  <c r="D368" i="8"/>
  <c r="E368" i="8" s="1"/>
  <c r="D352" i="8"/>
  <c r="E352" i="8" s="1"/>
  <c r="D335" i="8"/>
  <c r="E335" i="8" s="1"/>
  <c r="D314" i="8"/>
  <c r="E314" i="8" s="1"/>
  <c r="D292" i="8"/>
  <c r="E292" i="8" s="1"/>
  <c r="D271" i="8"/>
  <c r="E271" i="8" s="1"/>
  <c r="D250" i="8"/>
  <c r="E250" i="8" s="1"/>
  <c r="D228" i="8"/>
  <c r="E228" i="8" s="1"/>
  <c r="D207" i="8"/>
  <c r="E207" i="8" s="1"/>
  <c r="D186" i="8"/>
  <c r="E186" i="8" s="1"/>
  <c r="D364" i="8"/>
  <c r="E364" i="8" s="1"/>
  <c r="D348" i="8"/>
  <c r="E348" i="8" s="1"/>
  <c r="D330" i="8"/>
  <c r="E330" i="8" s="1"/>
  <c r="D308" i="8"/>
  <c r="E308" i="8" s="1"/>
  <c r="D287" i="8"/>
  <c r="E287" i="8" s="1"/>
  <c r="D266" i="8"/>
  <c r="E266" i="8" s="1"/>
  <c r="D244" i="8"/>
  <c r="E244" i="8" s="1"/>
  <c r="D223" i="8"/>
  <c r="E223" i="8" s="1"/>
  <c r="D202" i="8"/>
  <c r="E202" i="8" s="1"/>
  <c r="D180" i="8"/>
  <c r="E180" i="8" s="1"/>
  <c r="D175" i="8"/>
  <c r="E175" i="8" s="1"/>
  <c r="D170" i="8"/>
  <c r="E170" i="8" s="1"/>
  <c r="D164" i="8"/>
  <c r="E164" i="8" s="1"/>
  <c r="D159" i="8"/>
  <c r="E159" i="8" s="1"/>
  <c r="D154" i="8"/>
  <c r="E154" i="8" s="1"/>
  <c r="D146" i="8"/>
  <c r="E146" i="8" s="1"/>
  <c r="D138" i="8"/>
  <c r="E138" i="8" s="1"/>
  <c r="D130" i="8"/>
  <c r="E130" i="8" s="1"/>
  <c r="D122" i="8"/>
  <c r="E122" i="8" s="1"/>
  <c r="D114" i="8"/>
  <c r="E114" i="8" s="1"/>
  <c r="D106" i="8"/>
  <c r="E106" i="8" s="1"/>
  <c r="D98" i="8"/>
  <c r="E98" i="8" s="1"/>
  <c r="D90" i="8"/>
  <c r="E90" i="8" s="1"/>
  <c r="D82" i="8"/>
  <c r="E82" i="8" s="1"/>
  <c r="D74" i="8"/>
  <c r="E74" i="8" s="1"/>
  <c r="D66" i="8"/>
  <c r="E66" i="8" s="1"/>
  <c r="D58" i="8"/>
  <c r="E58" i="8" s="1"/>
  <c r="D50" i="8"/>
  <c r="E50" i="8" s="1"/>
  <c r="D42" i="8"/>
  <c r="E42" i="8" s="1"/>
  <c r="D34" i="8"/>
  <c r="E34" i="8" s="1"/>
  <c r="D26" i="8"/>
  <c r="E26" i="8" s="1"/>
  <c r="D18" i="8"/>
  <c r="E18" i="8" s="1"/>
  <c r="D10" i="8"/>
  <c r="E10" i="8" s="1"/>
  <c r="D367" i="8"/>
  <c r="E367" i="8" s="1"/>
  <c r="D359" i="8"/>
  <c r="E359" i="8" s="1"/>
  <c r="D355" i="8"/>
  <c r="E355" i="8" s="1"/>
  <c r="D351" i="8"/>
  <c r="E351" i="8" s="1"/>
  <c r="D347" i="8"/>
  <c r="E347" i="8" s="1"/>
  <c r="D343" i="8"/>
  <c r="E343" i="8" s="1"/>
  <c r="D339" i="8"/>
  <c r="E339" i="8" s="1"/>
  <c r="D334" i="8"/>
  <c r="E334" i="8" s="1"/>
  <c r="D328" i="8"/>
  <c r="E328" i="8" s="1"/>
  <c r="D323" i="8"/>
  <c r="E323" i="8" s="1"/>
  <c r="D318" i="8"/>
  <c r="E318" i="8" s="1"/>
  <c r="D312" i="8"/>
  <c r="E312" i="8" s="1"/>
  <c r="D307" i="8"/>
  <c r="E307" i="8" s="1"/>
  <c r="D302" i="8"/>
  <c r="E302" i="8" s="1"/>
  <c r="D296" i="8"/>
  <c r="E296" i="8" s="1"/>
  <c r="D291" i="8"/>
  <c r="E291" i="8" s="1"/>
  <c r="D286" i="8"/>
  <c r="E286" i="8" s="1"/>
  <c r="D280" i="8"/>
  <c r="E280" i="8" s="1"/>
  <c r="D275" i="8"/>
  <c r="E275" i="8" s="1"/>
  <c r="D270" i="8"/>
  <c r="E270" i="8" s="1"/>
  <c r="D264" i="8"/>
  <c r="E264" i="8" s="1"/>
  <c r="D259" i="8"/>
  <c r="E259" i="8" s="1"/>
  <c r="D254" i="8"/>
  <c r="E254" i="8" s="1"/>
  <c r="D248" i="8"/>
  <c r="E248" i="8" s="1"/>
  <c r="D243" i="8"/>
  <c r="E243" i="8" s="1"/>
  <c r="D238" i="8"/>
  <c r="E238" i="8" s="1"/>
  <c r="D232" i="8"/>
  <c r="E232" i="8" s="1"/>
  <c r="D227" i="8"/>
  <c r="E227" i="8" s="1"/>
  <c r="D222" i="8"/>
  <c r="E222" i="8" s="1"/>
  <c r="D216" i="8"/>
  <c r="E216" i="8" s="1"/>
  <c r="D211" i="8"/>
  <c r="E211" i="8" s="1"/>
  <c r="D206" i="8"/>
  <c r="E206" i="8" s="1"/>
  <c r="D200" i="8"/>
  <c r="E200" i="8" s="1"/>
  <c r="D195" i="8"/>
  <c r="E195" i="8" s="1"/>
  <c r="D190" i="8"/>
  <c r="E190" i="8" s="1"/>
  <c r="D184" i="8"/>
  <c r="E184" i="8" s="1"/>
  <c r="D179" i="8"/>
  <c r="E179" i="8" s="1"/>
  <c r="D174" i="8"/>
  <c r="E174" i="8" s="1"/>
  <c r="D168" i="8"/>
  <c r="E168" i="8" s="1"/>
  <c r="D163" i="8"/>
  <c r="E163" i="8" s="1"/>
  <c r="D158" i="8"/>
  <c r="E158" i="8" s="1"/>
  <c r="D152" i="8"/>
  <c r="E152" i="8" s="1"/>
  <c r="D144" i="8"/>
  <c r="E144" i="8" s="1"/>
  <c r="D136" i="8"/>
  <c r="E136" i="8" s="1"/>
  <c r="D128" i="8"/>
  <c r="E128" i="8" s="1"/>
  <c r="D120" i="8"/>
  <c r="E120" i="8" s="1"/>
  <c r="D112" i="8"/>
  <c r="E112" i="8" s="1"/>
  <c r="D104" i="8"/>
  <c r="E104" i="8" s="1"/>
  <c r="D96" i="8"/>
  <c r="E96" i="8" s="1"/>
  <c r="D88" i="8"/>
  <c r="E88" i="8" s="1"/>
  <c r="D80" i="8"/>
  <c r="E80" i="8" s="1"/>
  <c r="D72" i="8"/>
  <c r="E72" i="8" s="1"/>
  <c r="D64" i="8"/>
  <c r="E64" i="8" s="1"/>
  <c r="D56" i="8"/>
  <c r="E56" i="8" s="1"/>
  <c r="D48" i="8"/>
  <c r="E48" i="8" s="1"/>
  <c r="D40" i="8"/>
  <c r="E40" i="8" s="1"/>
  <c r="D32" i="8"/>
  <c r="E32" i="8" s="1"/>
  <c r="D24" i="8"/>
  <c r="E24" i="8" s="1"/>
  <c r="D16" i="8"/>
  <c r="E16" i="8" s="1"/>
  <c r="D5" i="8"/>
  <c r="E5" i="8" s="1"/>
  <c r="D9" i="8"/>
  <c r="E9" i="8" s="1"/>
  <c r="D13" i="8"/>
  <c r="E13" i="8" s="1"/>
  <c r="D17" i="8"/>
  <c r="E17" i="8" s="1"/>
  <c r="D21" i="8"/>
  <c r="E21" i="8" s="1"/>
  <c r="D25" i="8"/>
  <c r="E25" i="8" s="1"/>
  <c r="D29" i="8"/>
  <c r="E29" i="8" s="1"/>
  <c r="D33" i="8"/>
  <c r="E33" i="8" s="1"/>
  <c r="D37" i="8"/>
  <c r="E37" i="8" s="1"/>
  <c r="D41" i="8"/>
  <c r="E41" i="8" s="1"/>
  <c r="D45" i="8"/>
  <c r="E45" i="8" s="1"/>
  <c r="D49" i="8"/>
  <c r="E49" i="8" s="1"/>
  <c r="D53" i="8"/>
  <c r="E53" i="8" s="1"/>
  <c r="D57" i="8"/>
  <c r="E57" i="8" s="1"/>
  <c r="D61" i="8"/>
  <c r="E61" i="8" s="1"/>
  <c r="D65" i="8"/>
  <c r="E65" i="8" s="1"/>
  <c r="D69" i="8"/>
  <c r="E69" i="8" s="1"/>
  <c r="D73" i="8"/>
  <c r="E73" i="8" s="1"/>
  <c r="D77" i="8"/>
  <c r="E77" i="8" s="1"/>
  <c r="D81" i="8"/>
  <c r="E81" i="8" s="1"/>
  <c r="D85" i="8"/>
  <c r="E85" i="8" s="1"/>
  <c r="D89" i="8"/>
  <c r="E89" i="8" s="1"/>
  <c r="D93" i="8"/>
  <c r="E93" i="8" s="1"/>
  <c r="D97" i="8"/>
  <c r="E97" i="8" s="1"/>
  <c r="D101" i="8"/>
  <c r="E101" i="8" s="1"/>
  <c r="D105" i="8"/>
  <c r="E105" i="8" s="1"/>
  <c r="D109" i="8"/>
  <c r="E109" i="8" s="1"/>
  <c r="D113" i="8"/>
  <c r="E113" i="8" s="1"/>
  <c r="D117" i="8"/>
  <c r="E117" i="8" s="1"/>
  <c r="D121" i="8"/>
  <c r="E121" i="8" s="1"/>
  <c r="D125" i="8"/>
  <c r="E125" i="8" s="1"/>
  <c r="D129" i="8"/>
  <c r="E129" i="8" s="1"/>
  <c r="D133" i="8"/>
  <c r="E133" i="8" s="1"/>
  <c r="D137" i="8"/>
  <c r="E137" i="8" s="1"/>
  <c r="D141" i="8"/>
  <c r="E141" i="8" s="1"/>
  <c r="D145" i="8"/>
  <c r="E145" i="8" s="1"/>
  <c r="D149" i="8"/>
  <c r="E149" i="8" s="1"/>
  <c r="D153" i="8"/>
  <c r="E153" i="8" s="1"/>
  <c r="D157" i="8"/>
  <c r="E157" i="8" s="1"/>
  <c r="D161" i="8"/>
  <c r="E161" i="8" s="1"/>
  <c r="D165" i="8"/>
  <c r="E165" i="8" s="1"/>
  <c r="D169" i="8"/>
  <c r="E169" i="8" s="1"/>
  <c r="D173" i="8"/>
  <c r="E173" i="8" s="1"/>
  <c r="D177" i="8"/>
  <c r="E177" i="8" s="1"/>
  <c r="D181" i="8"/>
  <c r="E181" i="8" s="1"/>
  <c r="D185" i="8"/>
  <c r="E185" i="8" s="1"/>
  <c r="D189" i="8"/>
  <c r="E189" i="8" s="1"/>
  <c r="D193" i="8"/>
  <c r="E193" i="8" s="1"/>
  <c r="D197" i="8"/>
  <c r="E197" i="8" s="1"/>
  <c r="D201" i="8"/>
  <c r="E201" i="8" s="1"/>
  <c r="D205" i="8"/>
  <c r="E205" i="8" s="1"/>
  <c r="D209" i="8"/>
  <c r="E209" i="8" s="1"/>
  <c r="D213" i="8"/>
  <c r="E213" i="8" s="1"/>
  <c r="D217" i="8"/>
  <c r="E217" i="8" s="1"/>
  <c r="D221" i="8"/>
  <c r="E221" i="8" s="1"/>
  <c r="D225" i="8"/>
  <c r="E225" i="8" s="1"/>
  <c r="D229" i="8"/>
  <c r="E229" i="8" s="1"/>
  <c r="D233" i="8"/>
  <c r="E233" i="8" s="1"/>
  <c r="D237" i="8"/>
  <c r="E237" i="8" s="1"/>
  <c r="D241" i="8"/>
  <c r="E241" i="8" s="1"/>
  <c r="D245" i="8"/>
  <c r="E245" i="8" s="1"/>
  <c r="D249" i="8"/>
  <c r="E249" i="8" s="1"/>
  <c r="D253" i="8"/>
  <c r="E253" i="8" s="1"/>
  <c r="D257" i="8"/>
  <c r="E257" i="8" s="1"/>
  <c r="D261" i="8"/>
  <c r="E261" i="8" s="1"/>
  <c r="D265" i="8"/>
  <c r="E265" i="8" s="1"/>
  <c r="D269" i="8"/>
  <c r="E269" i="8" s="1"/>
  <c r="D273" i="8"/>
  <c r="E273" i="8" s="1"/>
  <c r="D277" i="8"/>
  <c r="E277" i="8" s="1"/>
  <c r="D281" i="8"/>
  <c r="E281" i="8" s="1"/>
  <c r="D285" i="8"/>
  <c r="E285" i="8" s="1"/>
  <c r="D289" i="8"/>
  <c r="E289" i="8" s="1"/>
  <c r="D293" i="8"/>
  <c r="E293" i="8" s="1"/>
  <c r="D297" i="8"/>
  <c r="E297" i="8" s="1"/>
  <c r="D301" i="8"/>
  <c r="E301" i="8" s="1"/>
  <c r="D305" i="8"/>
  <c r="E305" i="8" s="1"/>
  <c r="D309" i="8"/>
  <c r="E309" i="8" s="1"/>
  <c r="D313" i="8"/>
  <c r="E313" i="8" s="1"/>
  <c r="D317" i="8"/>
  <c r="E317" i="8" s="1"/>
  <c r="D321" i="8"/>
  <c r="E321" i="8" s="1"/>
  <c r="D325" i="8"/>
  <c r="E325" i="8" s="1"/>
  <c r="D329" i="8"/>
  <c r="E329" i="8" s="1"/>
  <c r="D333" i="8"/>
  <c r="E333" i="8" s="1"/>
  <c r="D337" i="8"/>
  <c r="E337" i="8" s="1"/>
  <c r="D2" i="8"/>
  <c r="E2" i="8" s="1"/>
  <c r="D3" i="8"/>
  <c r="E3" i="8" s="1"/>
  <c r="D7" i="8"/>
  <c r="E7" i="8" s="1"/>
  <c r="D11" i="8"/>
  <c r="E11" i="8" s="1"/>
  <c r="D15" i="8"/>
  <c r="E15" i="8" s="1"/>
  <c r="D19" i="8"/>
  <c r="E19" i="8" s="1"/>
  <c r="D23" i="8"/>
  <c r="E23" i="8" s="1"/>
  <c r="D27" i="8"/>
  <c r="E27" i="8" s="1"/>
  <c r="D31" i="8"/>
  <c r="E31" i="8" s="1"/>
  <c r="D35" i="8"/>
  <c r="E35" i="8" s="1"/>
  <c r="D39" i="8"/>
  <c r="E39" i="8" s="1"/>
  <c r="D43" i="8"/>
  <c r="E43" i="8" s="1"/>
  <c r="D47" i="8"/>
  <c r="E47" i="8" s="1"/>
  <c r="D51" i="8"/>
  <c r="E51" i="8" s="1"/>
  <c r="D55" i="8"/>
  <c r="E55" i="8" s="1"/>
  <c r="D59" i="8"/>
  <c r="E59" i="8" s="1"/>
  <c r="D63" i="8"/>
  <c r="E63" i="8" s="1"/>
  <c r="D67" i="8"/>
  <c r="E67" i="8" s="1"/>
  <c r="D71" i="8"/>
  <c r="E71" i="8" s="1"/>
  <c r="D75" i="8"/>
  <c r="E75" i="8" s="1"/>
  <c r="D79" i="8"/>
  <c r="E79" i="8" s="1"/>
  <c r="D83" i="8"/>
  <c r="E83" i="8" s="1"/>
  <c r="D87" i="8"/>
  <c r="E87" i="8" s="1"/>
  <c r="D91" i="8"/>
  <c r="E91" i="8" s="1"/>
  <c r="D95" i="8"/>
  <c r="E95" i="8" s="1"/>
  <c r="D99" i="8"/>
  <c r="E99" i="8" s="1"/>
  <c r="D103" i="8"/>
  <c r="E103" i="8" s="1"/>
  <c r="D107" i="8"/>
  <c r="E107" i="8" s="1"/>
  <c r="D111" i="8"/>
  <c r="E111" i="8" s="1"/>
  <c r="D115" i="8"/>
  <c r="E115" i="8" s="1"/>
  <c r="D119" i="8"/>
  <c r="E119" i="8" s="1"/>
  <c r="D123" i="8"/>
  <c r="E123" i="8" s="1"/>
  <c r="D127" i="8"/>
  <c r="E127" i="8" s="1"/>
  <c r="D131" i="8"/>
  <c r="E131" i="8" s="1"/>
  <c r="D135" i="8"/>
  <c r="E135" i="8" s="1"/>
  <c r="D139" i="8"/>
  <c r="E139" i="8" s="1"/>
  <c r="D143" i="8"/>
  <c r="E143" i="8" s="1"/>
  <c r="D147" i="8"/>
  <c r="E147" i="8" s="1"/>
  <c r="D151" i="8"/>
  <c r="E151" i="8" s="1"/>
  <c r="D370" i="8"/>
  <c r="E370" i="8" s="1"/>
  <c r="D366" i="8"/>
  <c r="E366" i="8" s="1"/>
  <c r="D362" i="8"/>
  <c r="E362" i="8" s="1"/>
  <c r="D358" i="8"/>
  <c r="E358" i="8" s="1"/>
  <c r="D354" i="8"/>
  <c r="E354" i="8" s="1"/>
  <c r="D350" i="8"/>
  <c r="E350" i="8" s="1"/>
  <c r="D346" i="8"/>
  <c r="E346" i="8" s="1"/>
  <c r="D342" i="8"/>
  <c r="E342" i="8" s="1"/>
  <c r="D338" i="8"/>
  <c r="E338" i="8" s="1"/>
  <c r="D332" i="8"/>
  <c r="E332" i="8" s="1"/>
  <c r="D327" i="8"/>
  <c r="E327" i="8" s="1"/>
  <c r="D322" i="8"/>
  <c r="E322" i="8" s="1"/>
  <c r="D316" i="8"/>
  <c r="E316" i="8" s="1"/>
  <c r="D311" i="8"/>
  <c r="E311" i="8" s="1"/>
  <c r="D306" i="8"/>
  <c r="E306" i="8" s="1"/>
  <c r="D300" i="8"/>
  <c r="E300" i="8" s="1"/>
  <c r="D295" i="8"/>
  <c r="E295" i="8" s="1"/>
  <c r="D290" i="8"/>
  <c r="E290" i="8" s="1"/>
  <c r="D284" i="8"/>
  <c r="E284" i="8" s="1"/>
  <c r="D279" i="8"/>
  <c r="E279" i="8" s="1"/>
  <c r="D274" i="8"/>
  <c r="E274" i="8" s="1"/>
  <c r="D268" i="8"/>
  <c r="E268" i="8" s="1"/>
  <c r="D263" i="8"/>
  <c r="E263" i="8" s="1"/>
  <c r="D258" i="8"/>
  <c r="E258" i="8" s="1"/>
  <c r="D252" i="8"/>
  <c r="E252" i="8" s="1"/>
  <c r="D247" i="8"/>
  <c r="E247" i="8" s="1"/>
  <c r="D242" i="8"/>
  <c r="E242" i="8" s="1"/>
  <c r="D236" i="8"/>
  <c r="E236" i="8" s="1"/>
  <c r="D231" i="8"/>
  <c r="E231" i="8" s="1"/>
  <c r="D226" i="8"/>
  <c r="E226" i="8" s="1"/>
  <c r="D220" i="8"/>
  <c r="E220" i="8" s="1"/>
  <c r="D215" i="8"/>
  <c r="E215" i="8" s="1"/>
  <c r="D210" i="8"/>
  <c r="E210" i="8" s="1"/>
  <c r="D204" i="8"/>
  <c r="E204" i="8" s="1"/>
  <c r="D199" i="8"/>
  <c r="E199" i="8" s="1"/>
  <c r="D194" i="8"/>
  <c r="E194" i="8" s="1"/>
  <c r="D188" i="8"/>
  <c r="E188" i="8" s="1"/>
  <c r="D183" i="8"/>
  <c r="E183" i="8" s="1"/>
  <c r="D178" i="8"/>
  <c r="E178" i="8" s="1"/>
  <c r="D172" i="8"/>
  <c r="E172" i="8" s="1"/>
  <c r="D167" i="8"/>
  <c r="E167" i="8" s="1"/>
  <c r="D162" i="8"/>
  <c r="E162" i="8" s="1"/>
  <c r="D156" i="8"/>
  <c r="E156" i="8" s="1"/>
  <c r="D150" i="8"/>
  <c r="E150" i="8" s="1"/>
  <c r="D142" i="8"/>
  <c r="E142" i="8" s="1"/>
  <c r="D134" i="8"/>
  <c r="E134" i="8" s="1"/>
  <c r="D126" i="8"/>
  <c r="E126" i="8" s="1"/>
  <c r="D118" i="8"/>
  <c r="E118" i="8" s="1"/>
  <c r="D110" i="8"/>
  <c r="E110" i="8" s="1"/>
  <c r="D102" i="8"/>
  <c r="E102" i="8" s="1"/>
  <c r="D94" i="8"/>
  <c r="E94" i="8" s="1"/>
  <c r="D86" i="8"/>
  <c r="E86" i="8" s="1"/>
  <c r="D78" i="8"/>
  <c r="E78" i="8" s="1"/>
  <c r="D70" i="8"/>
  <c r="E70" i="8" s="1"/>
  <c r="D62" i="8"/>
  <c r="E62" i="8" s="1"/>
  <c r="D54" i="8"/>
  <c r="E54" i="8" s="1"/>
  <c r="D46" i="8"/>
  <c r="E46" i="8" s="1"/>
  <c r="D38" i="8"/>
  <c r="E38" i="8" s="1"/>
  <c r="D30" i="8"/>
  <c r="E30" i="8" s="1"/>
  <c r="D22" i="8"/>
  <c r="E22" i="8" s="1"/>
  <c r="D14" i="8"/>
  <c r="E14" i="8" s="1"/>
  <c r="D6" i="8"/>
  <c r="E6" i="8" s="1"/>
  <c r="D371" i="8"/>
  <c r="E371" i="8" s="1"/>
  <c r="D363" i="8"/>
  <c r="E363" i="8" s="1"/>
  <c r="D1" i="8"/>
  <c r="E1" i="8" s="1"/>
  <c r="D369" i="8"/>
  <c r="E369" i="8" s="1"/>
  <c r="D365" i="8"/>
  <c r="E365" i="8" s="1"/>
  <c r="D361" i="8"/>
  <c r="E361" i="8" s="1"/>
  <c r="D357" i="8"/>
  <c r="E357" i="8" s="1"/>
  <c r="D353" i="8"/>
  <c r="E353" i="8" s="1"/>
  <c r="D349" i="8"/>
  <c r="E349" i="8" s="1"/>
  <c r="D345" i="8"/>
  <c r="E345" i="8" s="1"/>
  <c r="D341" i="8"/>
  <c r="E341" i="8" s="1"/>
  <c r="D336" i="8"/>
  <c r="E336" i="8" s="1"/>
  <c r="D331" i="8"/>
  <c r="E331" i="8" s="1"/>
  <c r="D326" i="8"/>
  <c r="E326" i="8" s="1"/>
  <c r="D320" i="8"/>
  <c r="E320" i="8" s="1"/>
  <c r="D315" i="8"/>
  <c r="E315" i="8" s="1"/>
  <c r="D310" i="8"/>
  <c r="E310" i="8" s="1"/>
  <c r="D304" i="8"/>
  <c r="E304" i="8" s="1"/>
  <c r="D299" i="8"/>
  <c r="E299" i="8" s="1"/>
  <c r="D294" i="8"/>
  <c r="E294" i="8" s="1"/>
  <c r="D288" i="8"/>
  <c r="E288" i="8" s="1"/>
  <c r="D283" i="8"/>
  <c r="E283" i="8" s="1"/>
  <c r="D278" i="8"/>
  <c r="E278" i="8" s="1"/>
  <c r="D272" i="8"/>
  <c r="E272" i="8" s="1"/>
  <c r="D267" i="8"/>
  <c r="E267" i="8" s="1"/>
  <c r="D262" i="8"/>
  <c r="E262" i="8" s="1"/>
  <c r="D256" i="8"/>
  <c r="E256" i="8" s="1"/>
  <c r="D251" i="8"/>
  <c r="E251" i="8" s="1"/>
  <c r="D246" i="8"/>
  <c r="E246" i="8" s="1"/>
  <c r="D240" i="8"/>
  <c r="E240" i="8" s="1"/>
  <c r="D235" i="8"/>
  <c r="E235" i="8" s="1"/>
  <c r="D230" i="8"/>
  <c r="E230" i="8" s="1"/>
  <c r="D224" i="8"/>
  <c r="E224" i="8" s="1"/>
  <c r="D219" i="8"/>
  <c r="E219" i="8" s="1"/>
  <c r="D214" i="8"/>
  <c r="E214" i="8" s="1"/>
  <c r="D208" i="8"/>
  <c r="E208" i="8" s="1"/>
  <c r="D203" i="8"/>
  <c r="E203" i="8" s="1"/>
  <c r="D198" i="8"/>
  <c r="E198" i="8" s="1"/>
  <c r="D192" i="8"/>
  <c r="E192" i="8" s="1"/>
  <c r="D187" i="8"/>
  <c r="E187" i="8" s="1"/>
  <c r="D182" i="8"/>
  <c r="E182" i="8" s="1"/>
  <c r="D176" i="8"/>
  <c r="E176" i="8" s="1"/>
  <c r="D171" i="8"/>
  <c r="E171" i="8" s="1"/>
  <c r="D166" i="8"/>
  <c r="E166" i="8" s="1"/>
  <c r="D160" i="8"/>
  <c r="E160" i="8" s="1"/>
  <c r="D155" i="8"/>
  <c r="E155" i="8" s="1"/>
  <c r="D148" i="8"/>
  <c r="E148" i="8" s="1"/>
  <c r="D140" i="8"/>
  <c r="E140" i="8" s="1"/>
  <c r="D132" i="8"/>
  <c r="E132" i="8" s="1"/>
  <c r="D124" i="8"/>
  <c r="E124" i="8" s="1"/>
  <c r="D116" i="8"/>
  <c r="E116" i="8" s="1"/>
  <c r="D108" i="8"/>
  <c r="E108" i="8" s="1"/>
  <c r="D100" i="8"/>
  <c r="E100" i="8" s="1"/>
  <c r="D92" i="8"/>
  <c r="E92" i="8" s="1"/>
  <c r="D84" i="8"/>
  <c r="E84" i="8" s="1"/>
  <c r="D76" i="8"/>
  <c r="E76" i="8" s="1"/>
  <c r="D68" i="8"/>
  <c r="E68" i="8" s="1"/>
  <c r="D60" i="8"/>
  <c r="E60" i="8" s="1"/>
  <c r="D52" i="8"/>
  <c r="E52" i="8" s="1"/>
  <c r="D44" i="8"/>
  <c r="E44" i="8" s="1"/>
  <c r="D36" i="8"/>
  <c r="E36" i="8" s="1"/>
  <c r="D28" i="8"/>
  <c r="E28" i="8" s="1"/>
  <c r="D20" i="8"/>
  <c r="E20" i="8" s="1"/>
  <c r="D12" i="8"/>
  <c r="E12" i="8" s="1"/>
  <c r="D4" i="8"/>
  <c r="E4" i="8" s="1"/>
  <c r="B27" i="6"/>
  <c r="C27" i="6" s="1"/>
</calcChain>
</file>

<file path=xl/sharedStrings.xml><?xml version="1.0" encoding="utf-8"?>
<sst xmlns="http://schemas.openxmlformats.org/spreadsheetml/2006/main" count="1127" uniqueCount="742">
  <si>
    <t>Klára</t>
  </si>
  <si>
    <t>Réka</t>
  </si>
  <si>
    <t>Márk</t>
  </si>
  <si>
    <t>Illés</t>
  </si>
  <si>
    <t>Béla</t>
  </si>
  <si>
    <t>Csaba</t>
  </si>
  <si>
    <t/>
  </si>
  <si>
    <t>Balázs</t>
  </si>
  <si>
    <t>Január 1</t>
  </si>
  <si>
    <t>Fruzsina</t>
  </si>
  <si>
    <t>Január 2</t>
  </si>
  <si>
    <t>Ábel</t>
  </si>
  <si>
    <t>Január 3</t>
  </si>
  <si>
    <t>Genovéva, Benjámin</t>
  </si>
  <si>
    <t>Január 4</t>
  </si>
  <si>
    <t>Titusz, Leona</t>
  </si>
  <si>
    <t>Január 5</t>
  </si>
  <si>
    <t>Simon</t>
  </si>
  <si>
    <t>Január 6</t>
  </si>
  <si>
    <t>Boldizsár</t>
  </si>
  <si>
    <t>Január 7</t>
  </si>
  <si>
    <t>Attila, Ramóna</t>
  </si>
  <si>
    <t>Január 8</t>
  </si>
  <si>
    <t>Gyöngyvér</t>
  </si>
  <si>
    <t>Január 9</t>
  </si>
  <si>
    <t>Marcell</t>
  </si>
  <si>
    <t>Január 10</t>
  </si>
  <si>
    <t>Melánia</t>
  </si>
  <si>
    <t>Január 11</t>
  </si>
  <si>
    <t>Ágota</t>
  </si>
  <si>
    <t>Január 12</t>
  </si>
  <si>
    <t>Ernő</t>
  </si>
  <si>
    <t>Január 13</t>
  </si>
  <si>
    <t>Veronika</t>
  </si>
  <si>
    <t>Január 14</t>
  </si>
  <si>
    <t>Bódog</t>
  </si>
  <si>
    <t>Január 15</t>
  </si>
  <si>
    <t>Lóránt, Loránd</t>
  </si>
  <si>
    <t>Január 16</t>
  </si>
  <si>
    <t>Gusztáv</t>
  </si>
  <si>
    <t>Január 17</t>
  </si>
  <si>
    <t>Antal, Antónia</t>
  </si>
  <si>
    <t>Január 18</t>
  </si>
  <si>
    <t>Piroska</t>
  </si>
  <si>
    <t>Január 19</t>
  </si>
  <si>
    <t>Sára, Márió</t>
  </si>
  <si>
    <t>Január 20</t>
  </si>
  <si>
    <t>Fábián, Sebestyén</t>
  </si>
  <si>
    <t>Január 21</t>
  </si>
  <si>
    <t>Ágnes</t>
  </si>
  <si>
    <t>Január 22</t>
  </si>
  <si>
    <t>Vince, Artúr</t>
  </si>
  <si>
    <t>Január 23</t>
  </si>
  <si>
    <t>Zelma, Rajmund</t>
  </si>
  <si>
    <t>Január 24</t>
  </si>
  <si>
    <t>Timót</t>
  </si>
  <si>
    <t>Január 25</t>
  </si>
  <si>
    <t>Pál</t>
  </si>
  <si>
    <t>Január 26</t>
  </si>
  <si>
    <t>Vanda, Paula</t>
  </si>
  <si>
    <t>Január 27</t>
  </si>
  <si>
    <t>Angelika</t>
  </si>
  <si>
    <t>Január 28</t>
  </si>
  <si>
    <t>Károly, Karola</t>
  </si>
  <si>
    <t>Január 29</t>
  </si>
  <si>
    <t>Adél</t>
  </si>
  <si>
    <t>Január 30</t>
  </si>
  <si>
    <t>Martina, Gerda</t>
  </si>
  <si>
    <t>Január 31</t>
  </si>
  <si>
    <t>Marcella</t>
  </si>
  <si>
    <t>Február 1</t>
  </si>
  <si>
    <t>Ignác</t>
  </si>
  <si>
    <t>Február 2</t>
  </si>
  <si>
    <t>Karolina, Aida</t>
  </si>
  <si>
    <t>Február 3</t>
  </si>
  <si>
    <t>Február 4</t>
  </si>
  <si>
    <t>Ráhel, Csenge</t>
  </si>
  <si>
    <t>Február 5</t>
  </si>
  <si>
    <t>Ágota, Ingrid</t>
  </si>
  <si>
    <t>Február 6</t>
  </si>
  <si>
    <t>Dorottya, Dóra</t>
  </si>
  <si>
    <t>Február 7</t>
  </si>
  <si>
    <t>Tódor, Rómeó</t>
  </si>
  <si>
    <t>Február 8</t>
  </si>
  <si>
    <t>Aranka</t>
  </si>
  <si>
    <t>Február 9</t>
  </si>
  <si>
    <t>Abigél, Alex</t>
  </si>
  <si>
    <t>Február 10</t>
  </si>
  <si>
    <t>Elvira</t>
  </si>
  <si>
    <t>Február 11</t>
  </si>
  <si>
    <t>Bertold, Marietta</t>
  </si>
  <si>
    <t>Február 12</t>
  </si>
  <si>
    <t>Lívia, Lídia</t>
  </si>
  <si>
    <t>Február 13</t>
  </si>
  <si>
    <t>Ella, Linda</t>
  </si>
  <si>
    <t>Február 14</t>
  </si>
  <si>
    <t>Bálint, Valentin</t>
  </si>
  <si>
    <t>Február 15</t>
  </si>
  <si>
    <t>Kolos, Georgina</t>
  </si>
  <si>
    <t>Február 16</t>
  </si>
  <si>
    <t>Julianna, Lilla</t>
  </si>
  <si>
    <t>Február 17</t>
  </si>
  <si>
    <t>Donát</t>
  </si>
  <si>
    <t>Február 18</t>
  </si>
  <si>
    <t>Bernadett</t>
  </si>
  <si>
    <t>Február 19</t>
  </si>
  <si>
    <t>Zsuzsanna</t>
  </si>
  <si>
    <t>Február 20</t>
  </si>
  <si>
    <t>Aladár, Álmos</t>
  </si>
  <si>
    <t>Február 21</t>
  </si>
  <si>
    <t>Eleonóra</t>
  </si>
  <si>
    <t>Február 22</t>
  </si>
  <si>
    <t>Gerzson</t>
  </si>
  <si>
    <t>Február 23</t>
  </si>
  <si>
    <t>Alfréd</t>
  </si>
  <si>
    <t>Február 24</t>
  </si>
  <si>
    <t>Mátyás</t>
  </si>
  <si>
    <t>Február 25</t>
  </si>
  <si>
    <t>Géza</t>
  </si>
  <si>
    <t>Február 26</t>
  </si>
  <si>
    <t>Edina</t>
  </si>
  <si>
    <t>Február 27</t>
  </si>
  <si>
    <t>Ákos, Bátor</t>
  </si>
  <si>
    <t>Február 28</t>
  </si>
  <si>
    <t>Elemér</t>
  </si>
  <si>
    <t>Március 1</t>
  </si>
  <si>
    <t>Albin</t>
  </si>
  <si>
    <t>Március 2</t>
  </si>
  <si>
    <t>Lujza</t>
  </si>
  <si>
    <t>Március 3</t>
  </si>
  <si>
    <t>Kornélia</t>
  </si>
  <si>
    <t>Március 4</t>
  </si>
  <si>
    <t>Kázmér</t>
  </si>
  <si>
    <t>Március 5</t>
  </si>
  <si>
    <t>Adorján, Adrián</t>
  </si>
  <si>
    <t>Március 6</t>
  </si>
  <si>
    <t>Leonóra, Inez</t>
  </si>
  <si>
    <t>Március 7</t>
  </si>
  <si>
    <t>Tamás</t>
  </si>
  <si>
    <t>Március 8</t>
  </si>
  <si>
    <t>Zoltán</t>
  </si>
  <si>
    <t>Március 9</t>
  </si>
  <si>
    <t>Franciska, Fanni</t>
  </si>
  <si>
    <t>Március 10</t>
  </si>
  <si>
    <t>Ildikó</t>
  </si>
  <si>
    <t>Március 11</t>
  </si>
  <si>
    <t>Szilárd</t>
  </si>
  <si>
    <t>Március 12</t>
  </si>
  <si>
    <t>Gergely</t>
  </si>
  <si>
    <t>Március 13</t>
  </si>
  <si>
    <t>Krisztián, Ajtony</t>
  </si>
  <si>
    <t>Március 14</t>
  </si>
  <si>
    <t>Matild</t>
  </si>
  <si>
    <t>Március 15</t>
  </si>
  <si>
    <t>Kristóf</t>
  </si>
  <si>
    <t>Március 16</t>
  </si>
  <si>
    <t>Henrietta</t>
  </si>
  <si>
    <t>Március 17</t>
  </si>
  <si>
    <t>Gertrúd, Patrik</t>
  </si>
  <si>
    <t>Március 18</t>
  </si>
  <si>
    <t>Sándor, Ede</t>
  </si>
  <si>
    <t>Március 19</t>
  </si>
  <si>
    <t>József, Bánk</t>
  </si>
  <si>
    <t>Március 20</t>
  </si>
  <si>
    <t>Klaudia</t>
  </si>
  <si>
    <t>Március 21</t>
  </si>
  <si>
    <t>Benedek</t>
  </si>
  <si>
    <t>Március 22</t>
  </si>
  <si>
    <t>Beáta, Izolda</t>
  </si>
  <si>
    <t>Március 23</t>
  </si>
  <si>
    <t>Emőke</t>
  </si>
  <si>
    <t>Március 24</t>
  </si>
  <si>
    <t>Gábor, Karina</t>
  </si>
  <si>
    <t>Március 25</t>
  </si>
  <si>
    <t>Irén, Írisz</t>
  </si>
  <si>
    <t>Március 26</t>
  </si>
  <si>
    <t>Emánuel</t>
  </si>
  <si>
    <t>Március 27</t>
  </si>
  <si>
    <t>Hajnalka</t>
  </si>
  <si>
    <t>Március 28</t>
  </si>
  <si>
    <t>Gedeon, Johanna</t>
  </si>
  <si>
    <t>Március 29</t>
  </si>
  <si>
    <t>Auguszta</t>
  </si>
  <si>
    <t>Március 30</t>
  </si>
  <si>
    <t>Zalán</t>
  </si>
  <si>
    <t>Március 31</t>
  </si>
  <si>
    <t>Árpád</t>
  </si>
  <si>
    <t>Április 1</t>
  </si>
  <si>
    <t>Hugó</t>
  </si>
  <si>
    <t>Április 2</t>
  </si>
  <si>
    <t>Áron</t>
  </si>
  <si>
    <t>Április 3</t>
  </si>
  <si>
    <t>Buda, Richárd</t>
  </si>
  <si>
    <t>Április 4</t>
  </si>
  <si>
    <t>Izidor</t>
  </si>
  <si>
    <t>Április 5</t>
  </si>
  <si>
    <t>Vice</t>
  </si>
  <si>
    <t>Április 6</t>
  </si>
  <si>
    <t>Vilmos, Bíborka</t>
  </si>
  <si>
    <t>Április 7</t>
  </si>
  <si>
    <t>Hermann</t>
  </si>
  <si>
    <t>Április 8</t>
  </si>
  <si>
    <t>Dénes</t>
  </si>
  <si>
    <t>Április 9</t>
  </si>
  <si>
    <t>Erhard</t>
  </si>
  <si>
    <t>Április 10</t>
  </si>
  <si>
    <t>Zsolt</t>
  </si>
  <si>
    <t>Április 11</t>
  </si>
  <si>
    <t>Leó, Szaniszló</t>
  </si>
  <si>
    <t>Április 12</t>
  </si>
  <si>
    <t>Gyula</t>
  </si>
  <si>
    <t>Április 13</t>
  </si>
  <si>
    <t>Ida</t>
  </si>
  <si>
    <t>Április 14</t>
  </si>
  <si>
    <t>Tibor</t>
  </si>
  <si>
    <t>Április 15</t>
  </si>
  <si>
    <t>Anasztázia, Tas</t>
  </si>
  <si>
    <t>Április 16</t>
  </si>
  <si>
    <t>Csongor</t>
  </si>
  <si>
    <t>Április 17</t>
  </si>
  <si>
    <t>Rudolf</t>
  </si>
  <si>
    <t>Április 18</t>
  </si>
  <si>
    <t>Andrea, Ilma</t>
  </si>
  <si>
    <t>Április 19</t>
  </si>
  <si>
    <t>Emma</t>
  </si>
  <si>
    <t>Április 20</t>
  </si>
  <si>
    <t>Tivadar</t>
  </si>
  <si>
    <t>Április 21</t>
  </si>
  <si>
    <t>Konrád</t>
  </si>
  <si>
    <t>Április 22</t>
  </si>
  <si>
    <t>Csilla, Noémi</t>
  </si>
  <si>
    <t>Április 23</t>
  </si>
  <si>
    <t>Április 24</t>
  </si>
  <si>
    <t>György</t>
  </si>
  <si>
    <t>Április 25</t>
  </si>
  <si>
    <t>Április 26</t>
  </si>
  <si>
    <t>Ervin</t>
  </si>
  <si>
    <t>Április 27</t>
  </si>
  <si>
    <t>Zita</t>
  </si>
  <si>
    <t>Április 28</t>
  </si>
  <si>
    <t>Valéria</t>
  </si>
  <si>
    <t>Április 29</t>
  </si>
  <si>
    <t>Péter</t>
  </si>
  <si>
    <t>Április 30</t>
  </si>
  <si>
    <t>Katalin, Kitti</t>
  </si>
  <si>
    <t>Május 1</t>
  </si>
  <si>
    <t>Fülöp, Jakab</t>
  </si>
  <si>
    <t>Május 2</t>
  </si>
  <si>
    <t>Zsigmond</t>
  </si>
  <si>
    <t>Május 3</t>
  </si>
  <si>
    <t>Tímea, Irma</t>
  </si>
  <si>
    <t>Május 4</t>
  </si>
  <si>
    <t>Mónika, Flóián</t>
  </si>
  <si>
    <t>Május 5</t>
  </si>
  <si>
    <t>Györgyi</t>
  </si>
  <si>
    <t>Május 6</t>
  </si>
  <si>
    <t>Ivett, Frida</t>
  </si>
  <si>
    <t>Május 7</t>
  </si>
  <si>
    <t>Gizella</t>
  </si>
  <si>
    <t>Május 8</t>
  </si>
  <si>
    <t>Mihály</t>
  </si>
  <si>
    <t>Május 9</t>
  </si>
  <si>
    <t>Május 10</t>
  </si>
  <si>
    <t>Ármin, Pálma</t>
  </si>
  <si>
    <t>Május 11</t>
  </si>
  <si>
    <t>Ferenc</t>
  </si>
  <si>
    <t>Május 12</t>
  </si>
  <si>
    <t>Pongrác</t>
  </si>
  <si>
    <t>Május 13</t>
  </si>
  <si>
    <t>Szervác, Imola</t>
  </si>
  <si>
    <t>Május 14</t>
  </si>
  <si>
    <t>Bonifác</t>
  </si>
  <si>
    <t>Május 15</t>
  </si>
  <si>
    <t>Zsófia, Szonja</t>
  </si>
  <si>
    <t>Május 16</t>
  </si>
  <si>
    <t>Mózes, Botond</t>
  </si>
  <si>
    <t>Május 17</t>
  </si>
  <si>
    <t>Paszkál</t>
  </si>
  <si>
    <t>Május 18</t>
  </si>
  <si>
    <t>Erik, Alexandra</t>
  </si>
  <si>
    <t>Május 19</t>
  </si>
  <si>
    <t>Ivó, Milán</t>
  </si>
  <si>
    <t>Május 20</t>
  </si>
  <si>
    <t>Bernát, Felícia</t>
  </si>
  <si>
    <t>Május 21</t>
  </si>
  <si>
    <t>Konstantin</t>
  </si>
  <si>
    <t>Május 22</t>
  </si>
  <si>
    <t>Júlia, Rita</t>
  </si>
  <si>
    <t>Május 23</t>
  </si>
  <si>
    <t>Dezső</t>
  </si>
  <si>
    <t>Május 24</t>
  </si>
  <si>
    <t>Eszter, Eliza</t>
  </si>
  <si>
    <t>Május 25</t>
  </si>
  <si>
    <t>Orbán</t>
  </si>
  <si>
    <t>Május 26</t>
  </si>
  <si>
    <t>Fülöp, Evelin</t>
  </si>
  <si>
    <t>Május 27</t>
  </si>
  <si>
    <t>Hella</t>
  </si>
  <si>
    <t>Május 28</t>
  </si>
  <si>
    <t>Emil, Csanád</t>
  </si>
  <si>
    <t>Május 29</t>
  </si>
  <si>
    <t>Magdolna</t>
  </si>
  <si>
    <t>Május 30</t>
  </si>
  <si>
    <t>Janka, Zsanett</t>
  </si>
  <si>
    <t>Május 31</t>
  </si>
  <si>
    <t>Angéla, Petronella</t>
  </si>
  <si>
    <t>Június 1</t>
  </si>
  <si>
    <t>Tünde</t>
  </si>
  <si>
    <t>Június 2</t>
  </si>
  <si>
    <t>Kármen, Anita</t>
  </si>
  <si>
    <t>Június 3</t>
  </si>
  <si>
    <t>Klotild</t>
  </si>
  <si>
    <t>Június 4</t>
  </si>
  <si>
    <t>Bulcsú</t>
  </si>
  <si>
    <t>Június 5</t>
  </si>
  <si>
    <t>Fatime</t>
  </si>
  <si>
    <t>Június 6</t>
  </si>
  <si>
    <t>Norbert, Cintia</t>
  </si>
  <si>
    <t>Június 7</t>
  </si>
  <si>
    <t>Róbert</t>
  </si>
  <si>
    <t>Június 8</t>
  </si>
  <si>
    <t>Medárd</t>
  </si>
  <si>
    <t>Június 9</t>
  </si>
  <si>
    <t>Félix</t>
  </si>
  <si>
    <t>Június 10</t>
  </si>
  <si>
    <t>Margit, Gréta</t>
  </si>
  <si>
    <t>Június 11</t>
  </si>
  <si>
    <t>Barnabás</t>
  </si>
  <si>
    <t>Június 12</t>
  </si>
  <si>
    <t>Villő</t>
  </si>
  <si>
    <t>Június 13</t>
  </si>
  <si>
    <t>Antal, Anett</t>
  </si>
  <si>
    <t>Június 14</t>
  </si>
  <si>
    <t>Vazul</t>
  </si>
  <si>
    <t>Június 15</t>
  </si>
  <si>
    <t>Jolán, Vid</t>
  </si>
  <si>
    <t>Június 16</t>
  </si>
  <si>
    <t>Jusztin</t>
  </si>
  <si>
    <t>Június 17</t>
  </si>
  <si>
    <t>Laura, Alida</t>
  </si>
  <si>
    <t>Június 18</t>
  </si>
  <si>
    <t>Arnold, Levente</t>
  </si>
  <si>
    <t>Június 19</t>
  </si>
  <si>
    <t>Gyárfás</t>
  </si>
  <si>
    <t>Június 20</t>
  </si>
  <si>
    <t>Rafael</t>
  </si>
  <si>
    <t>Június 21</t>
  </si>
  <si>
    <t>Alajos, Leila</t>
  </si>
  <si>
    <t>Június 22</t>
  </si>
  <si>
    <t>Paulina</t>
  </si>
  <si>
    <t>Június 23</t>
  </si>
  <si>
    <t>Június 24</t>
  </si>
  <si>
    <t>Iván</t>
  </si>
  <si>
    <t>Június 25</t>
  </si>
  <si>
    <t>Vilmos</t>
  </si>
  <si>
    <t>Június 26</t>
  </si>
  <si>
    <t>János, Pál</t>
  </si>
  <si>
    <t>Június 27</t>
  </si>
  <si>
    <t>László</t>
  </si>
  <si>
    <t>Június 28</t>
  </si>
  <si>
    <t>Levente, Irén</t>
  </si>
  <si>
    <t>Június 29</t>
  </si>
  <si>
    <t>Péter, Pál</t>
  </si>
  <si>
    <t>Június 30</t>
  </si>
  <si>
    <t>Július 1</t>
  </si>
  <si>
    <t>Tihamér, Annamária</t>
  </si>
  <si>
    <t>Július 2</t>
  </si>
  <si>
    <t>Ottó</t>
  </si>
  <si>
    <t>Július 3</t>
  </si>
  <si>
    <t>Kornél, Soma</t>
  </si>
  <si>
    <t>Július 4</t>
  </si>
  <si>
    <t>Ulrik</t>
  </si>
  <si>
    <t>Július 5</t>
  </si>
  <si>
    <t>Emese, Sarolta</t>
  </si>
  <si>
    <t>Július 6</t>
  </si>
  <si>
    <t>Július 7</t>
  </si>
  <si>
    <t>Apollónia</t>
  </si>
  <si>
    <t>Július 8</t>
  </si>
  <si>
    <t>Ellák</t>
  </si>
  <si>
    <t>Július 9</t>
  </si>
  <si>
    <t>Lukrécia</t>
  </si>
  <si>
    <t>Július 10</t>
  </si>
  <si>
    <t>Amália</t>
  </si>
  <si>
    <t>Július 11</t>
  </si>
  <si>
    <t>Nóra, Lili</t>
  </si>
  <si>
    <t>Július 12</t>
  </si>
  <si>
    <t>Izabella, Dalma</t>
  </si>
  <si>
    <t>Július 13</t>
  </si>
  <si>
    <t>Jenő</t>
  </si>
  <si>
    <t>Július 14</t>
  </si>
  <si>
    <t>Örs, Stella</t>
  </si>
  <si>
    <t>Július 15</t>
  </si>
  <si>
    <t>Henrik, Roland</t>
  </si>
  <si>
    <t>Július 16</t>
  </si>
  <si>
    <t>Valter</t>
  </si>
  <si>
    <t>Július 17</t>
  </si>
  <si>
    <t>Endre, Elek</t>
  </si>
  <si>
    <t>Július 18</t>
  </si>
  <si>
    <t>Frigyes</t>
  </si>
  <si>
    <t>Július 19</t>
  </si>
  <si>
    <t>Emília</t>
  </si>
  <si>
    <t>Július 20</t>
  </si>
  <si>
    <t>Július 21</t>
  </si>
  <si>
    <t>Dániel, Daniella</t>
  </si>
  <si>
    <t>Július 22</t>
  </si>
  <si>
    <t>Július 23</t>
  </si>
  <si>
    <t>Lenke</t>
  </si>
  <si>
    <t>Július 24</t>
  </si>
  <si>
    <t>Kinga, Kincső</t>
  </si>
  <si>
    <t>Július 25</t>
  </si>
  <si>
    <t>Kristóf, Jakab</t>
  </si>
  <si>
    <t>Július 26</t>
  </si>
  <si>
    <t>Anna, Anikó</t>
  </si>
  <si>
    <t>Július 27</t>
  </si>
  <si>
    <t>Olga, Liliána</t>
  </si>
  <si>
    <t>Július 28</t>
  </si>
  <si>
    <t>Szabolcs</t>
  </si>
  <si>
    <t>Július 29</t>
  </si>
  <si>
    <t>Márta, Flóra</t>
  </si>
  <si>
    <t>Július 30</t>
  </si>
  <si>
    <t>Judit, Xénia</t>
  </si>
  <si>
    <t>Július 31</t>
  </si>
  <si>
    <t>Oszkár</t>
  </si>
  <si>
    <t>Augusztus 1</t>
  </si>
  <si>
    <t>Boglárka</t>
  </si>
  <si>
    <t>Augusztus 2</t>
  </si>
  <si>
    <t>Lehel</t>
  </si>
  <si>
    <t>Augusztus 3</t>
  </si>
  <si>
    <t>Hermina</t>
  </si>
  <si>
    <t>Augusztus 4</t>
  </si>
  <si>
    <t>Domonkos, Dominika</t>
  </si>
  <si>
    <t>Augusztus 5</t>
  </si>
  <si>
    <t>Krisztina</t>
  </si>
  <si>
    <t>Augusztus 6</t>
  </si>
  <si>
    <t>Berta, Bettina</t>
  </si>
  <si>
    <t>Augusztus 7</t>
  </si>
  <si>
    <t>Ibolya</t>
  </si>
  <si>
    <t>Augusztus 8</t>
  </si>
  <si>
    <t>Augusztus 9</t>
  </si>
  <si>
    <t>Emőd</t>
  </si>
  <si>
    <t>Augusztus 10</t>
  </si>
  <si>
    <t>Lőrinc</t>
  </si>
  <si>
    <t>Augusztus 11</t>
  </si>
  <si>
    <t>Zsuzsanna, Tiborc</t>
  </si>
  <si>
    <t>Augusztus 12</t>
  </si>
  <si>
    <t>Augusztus 13</t>
  </si>
  <si>
    <t>Ipoly</t>
  </si>
  <si>
    <t>Augusztus 14</t>
  </si>
  <si>
    <t>Augusztus 15</t>
  </si>
  <si>
    <t>Mária</t>
  </si>
  <si>
    <t>Augusztus 16</t>
  </si>
  <si>
    <t>Ábrahám</t>
  </si>
  <si>
    <t>Augusztus 17</t>
  </si>
  <si>
    <t>Jácint</t>
  </si>
  <si>
    <t>Augusztus 18</t>
  </si>
  <si>
    <t>Ilona</t>
  </si>
  <si>
    <t>Augusztus 19</t>
  </si>
  <si>
    <t>Huba</t>
  </si>
  <si>
    <t>Augusztus 20</t>
  </si>
  <si>
    <t>István</t>
  </si>
  <si>
    <t>Augusztus 21</t>
  </si>
  <si>
    <t>Sámuel, Hajna</t>
  </si>
  <si>
    <t>Augusztus 22</t>
  </si>
  <si>
    <t>Menyhért, Mirjam</t>
  </si>
  <si>
    <t>Augusztus 23</t>
  </si>
  <si>
    <t>Bence</t>
  </si>
  <si>
    <t>Augusztus 24</t>
  </si>
  <si>
    <t>Bertalan</t>
  </si>
  <si>
    <t>Augusztus 25</t>
  </si>
  <si>
    <t>Lajos, Patrícia</t>
  </si>
  <si>
    <t>Augusztus 26</t>
  </si>
  <si>
    <t>Izsó</t>
  </si>
  <si>
    <t>Augusztus 27</t>
  </si>
  <si>
    <t>Gáspár</t>
  </si>
  <si>
    <t>Augusztus 28</t>
  </si>
  <si>
    <t>Ágoston</t>
  </si>
  <si>
    <t>Augusztus 29</t>
  </si>
  <si>
    <t>Beatrix, Erna</t>
  </si>
  <si>
    <t>Augusztus 30</t>
  </si>
  <si>
    <t>Rózsa</t>
  </si>
  <si>
    <t>Augusztus 31</t>
  </si>
  <si>
    <t>Erika, Bella</t>
  </si>
  <si>
    <t>Szeptember 1</t>
  </si>
  <si>
    <t>Egyed, Egon</t>
  </si>
  <si>
    <t>Szeptember 2</t>
  </si>
  <si>
    <t>Rebeka, Dorina</t>
  </si>
  <si>
    <t>Szeptember 3</t>
  </si>
  <si>
    <t>Hilda</t>
  </si>
  <si>
    <t>Szeptember 4</t>
  </si>
  <si>
    <t>Rozália</t>
  </si>
  <si>
    <t>Szeptember 5</t>
  </si>
  <si>
    <t>Viktor, Lőrinc</t>
  </si>
  <si>
    <t>Szeptember 6</t>
  </si>
  <si>
    <t>Zakariás</t>
  </si>
  <si>
    <t>Szeptember 7</t>
  </si>
  <si>
    <t>Regina</t>
  </si>
  <si>
    <t>Szeptember 8</t>
  </si>
  <si>
    <t>Mária, Adrienn</t>
  </si>
  <si>
    <t>Szeptember 9</t>
  </si>
  <si>
    <t>Ádám</t>
  </si>
  <si>
    <t>Szeptember 10</t>
  </si>
  <si>
    <t>Nikolett, Hunor</t>
  </si>
  <si>
    <t>Szeptember 11</t>
  </si>
  <si>
    <t>Teodóra</t>
  </si>
  <si>
    <t>Szeptember 12</t>
  </si>
  <si>
    <t>Szeptember 13</t>
  </si>
  <si>
    <t>Kornél</t>
  </si>
  <si>
    <t>Szeptember 14</t>
  </si>
  <si>
    <t>Szeréna, Roxána</t>
  </si>
  <si>
    <t>Szeptember 15</t>
  </si>
  <si>
    <t>Enikő, Melitta</t>
  </si>
  <si>
    <t>Szeptember 16</t>
  </si>
  <si>
    <t>Edit</t>
  </si>
  <si>
    <t>Szeptember 17</t>
  </si>
  <si>
    <t>Zsófia</t>
  </si>
  <si>
    <t>Szeptember 18</t>
  </si>
  <si>
    <t>Diána</t>
  </si>
  <si>
    <t>Szeptember 19</t>
  </si>
  <si>
    <t>Vilhelmina</t>
  </si>
  <si>
    <t>Szeptember 20</t>
  </si>
  <si>
    <t>Friderika</t>
  </si>
  <si>
    <t>Szeptember 21</t>
  </si>
  <si>
    <t>Máté, Mirella</t>
  </si>
  <si>
    <t>Szeptember 22</t>
  </si>
  <si>
    <t>Móric</t>
  </si>
  <si>
    <t>Szeptember 23</t>
  </si>
  <si>
    <t>Tekla</t>
  </si>
  <si>
    <t>Szeptember 24</t>
  </si>
  <si>
    <t>Gellért, Mercédesz</t>
  </si>
  <si>
    <t>Szeptember 25</t>
  </si>
  <si>
    <t>Eufrozina, Kende</t>
  </si>
  <si>
    <t>Szeptember 26</t>
  </si>
  <si>
    <t>Jusztina</t>
  </si>
  <si>
    <t>Szeptember 27</t>
  </si>
  <si>
    <t>Adalbert</t>
  </si>
  <si>
    <t>Szeptember 28</t>
  </si>
  <si>
    <t>Vencel</t>
  </si>
  <si>
    <t>Szeptember 29</t>
  </si>
  <si>
    <t>Szeptember 30</t>
  </si>
  <si>
    <t>Jeromos</t>
  </si>
  <si>
    <t>Október 1</t>
  </si>
  <si>
    <t>Malvin</t>
  </si>
  <si>
    <t>Október 2</t>
  </si>
  <si>
    <t>Petra</t>
  </si>
  <si>
    <t>Október 3</t>
  </si>
  <si>
    <t>Helga</t>
  </si>
  <si>
    <t>Október 4</t>
  </si>
  <si>
    <t>Október 5</t>
  </si>
  <si>
    <t>Aurél</t>
  </si>
  <si>
    <t>Október 6</t>
  </si>
  <si>
    <t>Brúnó, Renáta</t>
  </si>
  <si>
    <t>Október 7</t>
  </si>
  <si>
    <t>Október 8</t>
  </si>
  <si>
    <t>Koppány</t>
  </si>
  <si>
    <t>Október 9</t>
  </si>
  <si>
    <t>Október 10</t>
  </si>
  <si>
    <t>Gedeon</t>
  </si>
  <si>
    <t>Október 11</t>
  </si>
  <si>
    <t>Brigitta</t>
  </si>
  <si>
    <t>Október 12</t>
  </si>
  <si>
    <t>Miksa</t>
  </si>
  <si>
    <t>Október 13</t>
  </si>
  <si>
    <t>Kálmán, Ede</t>
  </si>
  <si>
    <t>Október 14</t>
  </si>
  <si>
    <t>Helén</t>
  </si>
  <si>
    <t>Október 15</t>
  </si>
  <si>
    <t>Teréz</t>
  </si>
  <si>
    <t>Október 16</t>
  </si>
  <si>
    <t>Gál</t>
  </si>
  <si>
    <t>Október 17</t>
  </si>
  <si>
    <t>Hedvig</t>
  </si>
  <si>
    <t>Október 18</t>
  </si>
  <si>
    <t>Lukács</t>
  </si>
  <si>
    <t>Október 19</t>
  </si>
  <si>
    <t>Nándor</t>
  </si>
  <si>
    <t>Október 20</t>
  </si>
  <si>
    <t>Vendel</t>
  </si>
  <si>
    <t>Október 21</t>
  </si>
  <si>
    <t>Orsolya</t>
  </si>
  <si>
    <t>Október 22</t>
  </si>
  <si>
    <t>Előd</t>
  </si>
  <si>
    <t>Október 23</t>
  </si>
  <si>
    <t>Gyöngyi</t>
  </si>
  <si>
    <t>Október 24</t>
  </si>
  <si>
    <t>Salamon</t>
  </si>
  <si>
    <t>Október 25</t>
  </si>
  <si>
    <t>Blanka, Bianka</t>
  </si>
  <si>
    <t>Október 26</t>
  </si>
  <si>
    <t>Dömötör</t>
  </si>
  <si>
    <t>Október 27</t>
  </si>
  <si>
    <t>Szabina</t>
  </si>
  <si>
    <t>Október 28</t>
  </si>
  <si>
    <t>Simon, Szimonetta</t>
  </si>
  <si>
    <t>Október 29</t>
  </si>
  <si>
    <t>Nárcisz</t>
  </si>
  <si>
    <t>Október 30</t>
  </si>
  <si>
    <t>Alfonz</t>
  </si>
  <si>
    <t>Október 31</t>
  </si>
  <si>
    <t>Farkas</t>
  </si>
  <si>
    <t>November 1</t>
  </si>
  <si>
    <t>Marianna</t>
  </si>
  <si>
    <t>November 2</t>
  </si>
  <si>
    <t>Achilles</t>
  </si>
  <si>
    <t>November 3</t>
  </si>
  <si>
    <t>Győző</t>
  </si>
  <si>
    <t>November 4</t>
  </si>
  <si>
    <t>Károly</t>
  </si>
  <si>
    <t>November 5</t>
  </si>
  <si>
    <t>Imre</t>
  </si>
  <si>
    <t>November 6</t>
  </si>
  <si>
    <t>Lénárd</t>
  </si>
  <si>
    <t>November 7</t>
  </si>
  <si>
    <t>Rezső</t>
  </si>
  <si>
    <t>November 8</t>
  </si>
  <si>
    <t>Zsombor</t>
  </si>
  <si>
    <t>November 9</t>
  </si>
  <si>
    <t>November 10</t>
  </si>
  <si>
    <t>November 11</t>
  </si>
  <si>
    <t>Márton</t>
  </si>
  <si>
    <t>November 12</t>
  </si>
  <si>
    <t>Jónás, Renátó</t>
  </si>
  <si>
    <t>November 13</t>
  </si>
  <si>
    <t>Szilvia</t>
  </si>
  <si>
    <t>November 14</t>
  </si>
  <si>
    <t>Aliz</t>
  </si>
  <si>
    <t>November 15</t>
  </si>
  <si>
    <t>Albert, Lipót</t>
  </si>
  <si>
    <t>November 16</t>
  </si>
  <si>
    <t>Ödön</t>
  </si>
  <si>
    <t>November 17</t>
  </si>
  <si>
    <t>Hortenzia, Gergő</t>
  </si>
  <si>
    <t>November 18</t>
  </si>
  <si>
    <t>November 19</t>
  </si>
  <si>
    <t>Erzsébet</t>
  </si>
  <si>
    <t>November 20</t>
  </si>
  <si>
    <t>Jolán</t>
  </si>
  <si>
    <t>November 21</t>
  </si>
  <si>
    <t>Olivér</t>
  </si>
  <si>
    <t>November 22</t>
  </si>
  <si>
    <t>Cecília</t>
  </si>
  <si>
    <t>November 23</t>
  </si>
  <si>
    <t>Kelemen, Klementina</t>
  </si>
  <si>
    <t>November 24</t>
  </si>
  <si>
    <t>November 25</t>
  </si>
  <si>
    <t>Katalin</t>
  </si>
  <si>
    <t>November 26</t>
  </si>
  <si>
    <t>Virág</t>
  </si>
  <si>
    <t>November 27</t>
  </si>
  <si>
    <t>Virgil</t>
  </si>
  <si>
    <t>November 28</t>
  </si>
  <si>
    <t>Stefánia</t>
  </si>
  <si>
    <t>November 29</t>
  </si>
  <si>
    <t>Taksony</t>
  </si>
  <si>
    <t>November 30</t>
  </si>
  <si>
    <t>András, Andor</t>
  </si>
  <si>
    <t>December 1</t>
  </si>
  <si>
    <t>Elza</t>
  </si>
  <si>
    <t>December 2</t>
  </si>
  <si>
    <t>Melinda, Vivien</t>
  </si>
  <si>
    <t>December 3</t>
  </si>
  <si>
    <t>Ferenc, Olívia</t>
  </si>
  <si>
    <t>December 4</t>
  </si>
  <si>
    <t>Borbála, Barbara</t>
  </si>
  <si>
    <t>December 5</t>
  </si>
  <si>
    <t>Vilma</t>
  </si>
  <si>
    <t>December 6</t>
  </si>
  <si>
    <t>Miklós</t>
  </si>
  <si>
    <t>December 7</t>
  </si>
  <si>
    <t>Ambrus</t>
  </si>
  <si>
    <t>December 8</t>
  </si>
  <si>
    <t>December 9</t>
  </si>
  <si>
    <t>Natália</t>
  </si>
  <si>
    <t>December 10</t>
  </si>
  <si>
    <t>Judit</t>
  </si>
  <si>
    <t>December 11</t>
  </si>
  <si>
    <t>December 12</t>
  </si>
  <si>
    <t>Gabriella</t>
  </si>
  <si>
    <t>December 13</t>
  </si>
  <si>
    <t>Luca, Otília</t>
  </si>
  <si>
    <t>December 14</t>
  </si>
  <si>
    <t>Szilárda</t>
  </si>
  <si>
    <t>December 15</t>
  </si>
  <si>
    <t>Valér</t>
  </si>
  <si>
    <t>December 16</t>
  </si>
  <si>
    <t>Etelka, Aletta</t>
  </si>
  <si>
    <t>December 17</t>
  </si>
  <si>
    <t>Lázár, Olimpia</t>
  </si>
  <si>
    <t>December 18</t>
  </si>
  <si>
    <t>December 19</t>
  </si>
  <si>
    <t>Viola</t>
  </si>
  <si>
    <t>December 20</t>
  </si>
  <si>
    <t>Teofil</t>
  </si>
  <si>
    <t>December 21</t>
  </si>
  <si>
    <t>December 22</t>
  </si>
  <si>
    <t>Zénó</t>
  </si>
  <si>
    <t>December 23</t>
  </si>
  <si>
    <t>Viktória</t>
  </si>
  <si>
    <t>December 24</t>
  </si>
  <si>
    <t>Ádám, Éva</t>
  </si>
  <si>
    <t>December 25</t>
  </si>
  <si>
    <t>Eugénia</t>
  </si>
  <si>
    <t>December 26</t>
  </si>
  <si>
    <t>December 27</t>
  </si>
  <si>
    <t>János</t>
  </si>
  <si>
    <t>December 28</t>
  </si>
  <si>
    <t>Kamilla</t>
  </si>
  <si>
    <t>December 29</t>
  </si>
  <si>
    <t>Tamás, Tamara</t>
  </si>
  <si>
    <t>December 30</t>
  </si>
  <si>
    <t>Dávid</t>
  </si>
  <si>
    <t>December 31</t>
  </si>
  <si>
    <t>Szilveszter</t>
  </si>
  <si>
    <t>Február 29</t>
  </si>
  <si>
    <t>Február 30</t>
  </si>
  <si>
    <t>Február 31</t>
  </si>
  <si>
    <t>Nincs ilyen nap</t>
  </si>
  <si>
    <t>Április 31</t>
  </si>
  <si>
    <t>Június 31</t>
  </si>
  <si>
    <t>Szeptember 31</t>
  </si>
  <si>
    <t>November 31</t>
  </si>
  <si>
    <t>Szökőnap</t>
  </si>
  <si>
    <t>A beteg (recipiens) vércsoportja:</t>
  </si>
  <si>
    <t>A véradó (donor) vércsoportja:</t>
  </si>
  <si>
    <t>Január</t>
  </si>
  <si>
    <t>Február</t>
  </si>
  <si>
    <t>Március</t>
  </si>
  <si>
    <t>Április</t>
  </si>
  <si>
    <t>Május</t>
  </si>
  <si>
    <t>Június</t>
  </si>
  <si>
    <t>Július</t>
  </si>
  <si>
    <t>Augusztus</t>
  </si>
  <si>
    <t>Szeptember</t>
  </si>
  <si>
    <t>Október</t>
  </si>
  <si>
    <t>November</t>
  </si>
  <si>
    <t>December</t>
  </si>
  <si>
    <t>Hétfő</t>
  </si>
  <si>
    <t>Kedd</t>
  </si>
  <si>
    <t>Szerda</t>
  </si>
  <si>
    <t>Csütörtök</t>
  </si>
  <si>
    <t>Péntek</t>
  </si>
  <si>
    <t>Szombat</t>
  </si>
  <si>
    <t>Vasárnap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</si>
</sst>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8"/>
      <color theme="5"/>
      <name val="Calibri"/>
      <family val="2"/>
      <charset val="238"/>
      <scheme val="minor"/>
    </font>
    <font>
      <b/>
      <sz val="16"/>
      <color rgb="FFFF0000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NumberFormat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0" xfId="0" applyBorder="1"/>
    <xf numFmtId="0" fontId="0" fillId="0" borderId="3" xfId="0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47</xdr:row>
      <xdr:rowOff>28575</xdr:rowOff>
    </xdr:from>
    <xdr:to>
      <xdr:col>4</xdr:col>
      <xdr:colOff>19050</xdr:colOff>
      <xdr:row>51</xdr:row>
      <xdr:rowOff>161925</xdr:rowOff>
    </xdr:to>
    <xdr:sp macro="[0]!Makró5" textlink="">
      <xdr:nvSpPr>
        <xdr:cNvPr id="3" name="Balra nyíl 2"/>
        <xdr:cNvSpPr/>
      </xdr:nvSpPr>
      <xdr:spPr>
        <a:xfrm>
          <a:off x="1266825" y="9134475"/>
          <a:ext cx="2371725" cy="8953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hu-HU" sz="2000"/>
            <a:t>Új</a:t>
          </a:r>
          <a:r>
            <a:rPr lang="hu-HU" sz="2000" baseline="0"/>
            <a:t> jelszót kérek!</a:t>
          </a:r>
          <a:endParaRPr lang="hu-HU" sz="2000"/>
        </a:p>
      </xdr:txBody>
    </xdr:sp>
    <xdr:clientData/>
  </xdr:twoCellAnchor>
  <xdr:twoCellAnchor>
    <xdr:from>
      <xdr:col>1</xdr:col>
      <xdr:colOff>714375</xdr:colOff>
      <xdr:row>13</xdr:row>
      <xdr:rowOff>66675</xdr:rowOff>
    </xdr:from>
    <xdr:to>
      <xdr:col>3</xdr:col>
      <xdr:colOff>200025</xdr:colOff>
      <xdr:row>16</xdr:row>
      <xdr:rowOff>57150</xdr:rowOff>
    </xdr:to>
    <xdr:sp macro="[0]!Makró3" textlink="">
      <xdr:nvSpPr>
        <xdr:cNvPr id="2" name="Lekerekített téglalap 1"/>
        <xdr:cNvSpPr/>
      </xdr:nvSpPr>
      <xdr:spPr>
        <a:xfrm>
          <a:off x="1762125" y="2571750"/>
          <a:ext cx="1419225" cy="561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hu-HU" sz="1100"/>
            <a:t>Név</a:t>
          </a:r>
          <a:r>
            <a:rPr lang="hu-HU" sz="1100" baseline="0"/>
            <a:t> mutatása</a:t>
          </a:r>
        </a:p>
        <a:p>
          <a:pPr algn="l"/>
          <a:endParaRPr lang="hu-H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2:L396"/>
  <sheetViews>
    <sheetView tabSelected="1" topLeftCell="A40" zoomScaleNormal="100" workbookViewId="0">
      <selection activeCell="C54" sqref="C54"/>
    </sheetView>
  </sheetViews>
  <sheetFormatPr defaultRowHeight="15" x14ac:dyDescent="0.25"/>
  <cols>
    <col min="1" max="1" width="17.5703125" customWidth="1"/>
    <col min="2" max="2" width="15.7109375" customWidth="1"/>
    <col min="3" max="3" width="21" customWidth="1"/>
    <col min="4" max="4" width="10.42578125" customWidth="1"/>
    <col min="5" max="5" width="9.7109375" bestFit="1" customWidth="1"/>
    <col min="6" max="6" width="11.7109375" bestFit="1" customWidth="1"/>
    <col min="8" max="8" width="5.28515625" customWidth="1"/>
    <col min="13" max="16" width="9.140625" customWidth="1"/>
  </cols>
  <sheetData>
    <row r="2" spans="1:8" x14ac:dyDescent="0.25">
      <c r="F2" t="s">
        <v>723</v>
      </c>
      <c r="H2">
        <v>1</v>
      </c>
    </row>
    <row r="3" spans="1:8" x14ac:dyDescent="0.25">
      <c r="F3" t="s">
        <v>724</v>
      </c>
      <c r="H3">
        <v>2</v>
      </c>
    </row>
    <row r="4" spans="1:8" ht="15.75" thickBot="1" x14ac:dyDescent="0.3">
      <c r="F4" t="s">
        <v>725</v>
      </c>
      <c r="H4">
        <v>3</v>
      </c>
    </row>
    <row r="5" spans="1:8" ht="15.75" thickBot="1" x14ac:dyDescent="0.3">
      <c r="A5" s="8" t="s">
        <v>715</v>
      </c>
      <c r="B5" s="9"/>
      <c r="C5" s="3" t="s">
        <v>724</v>
      </c>
      <c r="F5" t="s">
        <v>726</v>
      </c>
      <c r="H5">
        <v>4</v>
      </c>
    </row>
    <row r="6" spans="1:8" ht="15.75" thickBot="1" x14ac:dyDescent="0.3">
      <c r="A6" s="8"/>
      <c r="B6" s="9"/>
      <c r="C6" s="3">
        <v>31</v>
      </c>
      <c r="F6" t="s">
        <v>727</v>
      </c>
      <c r="H6">
        <v>5</v>
      </c>
    </row>
    <row r="7" spans="1:8" x14ac:dyDescent="0.25">
      <c r="F7" t="s">
        <v>728</v>
      </c>
      <c r="H7">
        <v>6</v>
      </c>
    </row>
    <row r="8" spans="1:8" x14ac:dyDescent="0.25">
      <c r="C8" t="str">
        <f>CONCATENATE(C5," ",C6)</f>
        <v>Február 31</v>
      </c>
      <c r="F8" t="s">
        <v>729</v>
      </c>
      <c r="H8">
        <v>7</v>
      </c>
    </row>
    <row r="9" spans="1:8" x14ac:dyDescent="0.25">
      <c r="C9" t="str">
        <f>VLOOKUP(C8,Naptár!A1:B372,2,0)</f>
        <v>Nincs ilyen nap</v>
      </c>
      <c r="F9" t="s">
        <v>730</v>
      </c>
      <c r="H9">
        <v>8</v>
      </c>
    </row>
    <row r="10" spans="1:8" x14ac:dyDescent="0.25">
      <c r="F10" t="s">
        <v>731</v>
      </c>
      <c r="H10">
        <v>9</v>
      </c>
    </row>
    <row r="11" spans="1:8" x14ac:dyDescent="0.25">
      <c r="F11" t="s">
        <v>732</v>
      </c>
      <c r="H11">
        <v>10</v>
      </c>
    </row>
    <row r="12" spans="1:8" x14ac:dyDescent="0.25">
      <c r="F12" t="s">
        <v>733</v>
      </c>
      <c r="H12">
        <v>11</v>
      </c>
    </row>
    <row r="13" spans="1:8" x14ac:dyDescent="0.25">
      <c r="F13" t="s">
        <v>734</v>
      </c>
      <c r="H13">
        <v>12</v>
      </c>
    </row>
    <row r="14" spans="1:8" ht="15" customHeight="1" x14ac:dyDescent="0.25">
      <c r="H14">
        <v>13</v>
      </c>
    </row>
    <row r="15" spans="1:8" ht="15" customHeight="1" x14ac:dyDescent="0.25">
      <c r="H15">
        <v>14</v>
      </c>
    </row>
    <row r="16" spans="1:8" ht="15" customHeight="1" x14ac:dyDescent="0.25">
      <c r="H16">
        <v>15</v>
      </c>
    </row>
    <row r="17" spans="1:8" ht="15" customHeight="1" x14ac:dyDescent="0.25">
      <c r="H17">
        <v>16</v>
      </c>
    </row>
    <row r="18" spans="1:8" x14ac:dyDescent="0.25">
      <c r="H18">
        <v>17</v>
      </c>
    </row>
    <row r="19" spans="1:8" x14ac:dyDescent="0.25">
      <c r="C19" t="s">
        <v>6</v>
      </c>
      <c r="H19">
        <v>18</v>
      </c>
    </row>
    <row r="20" spans="1:8" x14ac:dyDescent="0.25">
      <c r="C20" t="s">
        <v>6</v>
      </c>
      <c r="H20">
        <v>19</v>
      </c>
    </row>
    <row r="21" spans="1:8" x14ac:dyDescent="0.25">
      <c r="C21" t="s">
        <v>6</v>
      </c>
      <c r="E21" s="5"/>
      <c r="H21">
        <v>20</v>
      </c>
    </row>
    <row r="22" spans="1:8" x14ac:dyDescent="0.25">
      <c r="C22" t="s">
        <v>6</v>
      </c>
      <c r="H22">
        <v>21</v>
      </c>
    </row>
    <row r="23" spans="1:8" x14ac:dyDescent="0.25">
      <c r="H23">
        <v>22</v>
      </c>
    </row>
    <row r="24" spans="1:8" ht="15" customHeight="1" x14ac:dyDescent="0.25">
      <c r="B24" s="10" t="str">
        <f>CONCATENATE(IF(LEFT(A25,1)=3,"Uram,","Hölgyem,")," ön 20",MID(A25,2,2),".",MID(A25,4,2),".",MID(A25,6,2),"-én született.")</f>
        <v>Hölgyem, ön 2005.07.25-én született.</v>
      </c>
      <c r="C24" s="10"/>
      <c r="D24" s="7"/>
      <c r="E24" s="7"/>
      <c r="F24" s="7"/>
      <c r="H24">
        <v>23</v>
      </c>
    </row>
    <row r="25" spans="1:8" ht="15" customHeight="1" x14ac:dyDescent="0.25">
      <c r="A25">
        <v>40507257025</v>
      </c>
      <c r="B25" s="10"/>
      <c r="C25" s="10"/>
      <c r="D25" s="7"/>
      <c r="E25" s="7"/>
      <c r="F25" s="7"/>
      <c r="H25">
        <v>24</v>
      </c>
    </row>
    <row r="26" spans="1:8" x14ac:dyDescent="0.25">
      <c r="H26">
        <v>25</v>
      </c>
    </row>
    <row r="27" spans="1:8" x14ac:dyDescent="0.25">
      <c r="B27" t="str">
        <f>MID(B24,13,10)</f>
        <v>2005.07.25</v>
      </c>
      <c r="C27" t="str">
        <f>VLOOKUP(WEEKDAY(B27,2),D27:E33,2)</f>
        <v>Hétfő</v>
      </c>
      <c r="D27">
        <v>1</v>
      </c>
      <c r="E27" t="s">
        <v>735</v>
      </c>
      <c r="H27">
        <v>26</v>
      </c>
    </row>
    <row r="28" spans="1:8" x14ac:dyDescent="0.25">
      <c r="D28">
        <v>2</v>
      </c>
      <c r="E28" t="s">
        <v>736</v>
      </c>
      <c r="H28">
        <v>27</v>
      </c>
    </row>
    <row r="29" spans="1:8" x14ac:dyDescent="0.25">
      <c r="D29">
        <v>3</v>
      </c>
      <c r="E29" t="s">
        <v>737</v>
      </c>
      <c r="H29">
        <v>28</v>
      </c>
    </row>
    <row r="30" spans="1:8" x14ac:dyDescent="0.25">
      <c r="D30">
        <v>4</v>
      </c>
      <c r="E30" t="s">
        <v>738</v>
      </c>
      <c r="H30">
        <v>29</v>
      </c>
    </row>
    <row r="31" spans="1:8" x14ac:dyDescent="0.25">
      <c r="D31">
        <v>5</v>
      </c>
      <c r="E31" t="s">
        <v>739</v>
      </c>
      <c r="H31">
        <v>30</v>
      </c>
    </row>
    <row r="32" spans="1:8" ht="15" customHeight="1" x14ac:dyDescent="0.25">
      <c r="D32">
        <v>6</v>
      </c>
      <c r="E32" t="s">
        <v>740</v>
      </c>
      <c r="H32">
        <v>31</v>
      </c>
    </row>
    <row r="33" spans="3:12" ht="15" customHeight="1" x14ac:dyDescent="0.25">
      <c r="D33">
        <v>7</v>
      </c>
      <c r="E33" t="s">
        <v>741</v>
      </c>
    </row>
    <row r="36" spans="3:12" x14ac:dyDescent="0.25">
      <c r="C36" t="s">
        <v>6</v>
      </c>
    </row>
    <row r="37" spans="3:12" x14ac:dyDescent="0.25">
      <c r="C37" t="s">
        <v>6</v>
      </c>
    </row>
    <row r="38" spans="3:12" x14ac:dyDescent="0.25">
      <c r="C38" t="s">
        <v>6</v>
      </c>
    </row>
    <row r="39" spans="3:12" x14ac:dyDescent="0.25">
      <c r="C39" t="s">
        <v>6</v>
      </c>
    </row>
    <row r="40" spans="3:12" x14ac:dyDescent="0.25">
      <c r="C40" t="s">
        <v>6</v>
      </c>
    </row>
    <row r="42" spans="3:12" x14ac:dyDescent="0.25">
      <c r="C42" t="s">
        <v>6</v>
      </c>
    </row>
    <row r="43" spans="3:12" x14ac:dyDescent="0.25">
      <c r="C43" t="s">
        <v>6</v>
      </c>
    </row>
    <row r="44" spans="3:12" x14ac:dyDescent="0.25">
      <c r="C44" s="2" t="s">
        <v>6</v>
      </c>
    </row>
    <row r="45" spans="3:12" x14ac:dyDescent="0.25">
      <c r="C45" t="s">
        <v>6</v>
      </c>
    </row>
    <row r="46" spans="3:12" x14ac:dyDescent="0.25">
      <c r="C46" t="s">
        <v>6</v>
      </c>
      <c r="E46">
        <f ca="1">RANDBETWEEN(33,125)</f>
        <v>50</v>
      </c>
      <c r="F46">
        <f t="shared" ref="F46:L46" ca="1" si="0">RANDBETWEEN(33,125)</f>
        <v>74</v>
      </c>
      <c r="G46">
        <f t="shared" ca="1" si="0"/>
        <v>108</v>
      </c>
      <c r="H46">
        <f t="shared" ca="1" si="0"/>
        <v>79</v>
      </c>
      <c r="I46">
        <f t="shared" ca="1" si="0"/>
        <v>123</v>
      </c>
      <c r="J46">
        <f t="shared" ca="1" si="0"/>
        <v>56</v>
      </c>
      <c r="K46">
        <f t="shared" ca="1" si="0"/>
        <v>120</v>
      </c>
      <c r="L46">
        <f t="shared" ca="1" si="0"/>
        <v>102</v>
      </c>
    </row>
    <row r="47" spans="3:12" x14ac:dyDescent="0.25">
      <c r="C47" t="s">
        <v>6</v>
      </c>
    </row>
    <row r="48" spans="3:12" x14ac:dyDescent="0.25">
      <c r="C48" t="s">
        <v>6</v>
      </c>
      <c r="E48" t="str">
        <f ca="1">CHAR(E46)</f>
        <v>2</v>
      </c>
      <c r="F48" t="str">
        <f t="shared" ref="F48:M48" ca="1" si="1">CHAR(F46)</f>
        <v>J</v>
      </c>
      <c r="G48" t="str">
        <f t="shared" ca="1" si="1"/>
        <v>l</v>
      </c>
      <c r="H48" t="str">
        <f t="shared" ca="1" si="1"/>
        <v>O</v>
      </c>
      <c r="I48" t="str">
        <f t="shared" ca="1" si="1"/>
        <v>{</v>
      </c>
      <c r="J48" t="str">
        <f t="shared" ca="1" si="1"/>
        <v>8</v>
      </c>
      <c r="K48" t="str">
        <f t="shared" ca="1" si="1"/>
        <v>x</v>
      </c>
      <c r="L48" t="str">
        <f t="shared" ca="1" si="1"/>
        <v>f</v>
      </c>
    </row>
    <row r="49" spans="1:6" x14ac:dyDescent="0.25">
      <c r="C49" t="s">
        <v>6</v>
      </c>
    </row>
    <row r="50" spans="1:6" x14ac:dyDescent="0.25">
      <c r="A50" t="str">
        <f ca="1">CONCATENATE($E$48,$F$48,$G$48,$H$48,$I$48,$J$48,$K$48,$L$48)</f>
        <v>2JlO{8xf</v>
      </c>
      <c r="C50" t="s">
        <v>6</v>
      </c>
      <c r="F50" t="str">
        <f ca="1">CONCATENATE($E$48,$F$48,$G$48,$H$48,$I$48,$J$48,$K$48,$L$48)</f>
        <v>2JlO{8xf</v>
      </c>
    </row>
    <row r="51" spans="1:6" x14ac:dyDescent="0.25">
      <c r="C51" t="s">
        <v>6</v>
      </c>
    </row>
    <row r="52" spans="1:6" x14ac:dyDescent="0.25">
      <c r="C52" t="s">
        <v>6</v>
      </c>
    </row>
    <row r="53" spans="1:6" x14ac:dyDescent="0.25">
      <c r="C53" t="s">
        <v>6</v>
      </c>
    </row>
    <row r="54" spans="1:6" x14ac:dyDescent="0.25">
      <c r="C54" t="str">
        <f>CONCATENATE(B52,C52,D52,E52,F52,G52,H52,I52)</f>
        <v/>
      </c>
    </row>
    <row r="55" spans="1:6" x14ac:dyDescent="0.25">
      <c r="C55" t="s">
        <v>6</v>
      </c>
    </row>
    <row r="56" spans="1:6" x14ac:dyDescent="0.25">
      <c r="C56" t="s">
        <v>6</v>
      </c>
    </row>
    <row r="57" spans="1:6" x14ac:dyDescent="0.25">
      <c r="C57" t="s">
        <v>6</v>
      </c>
    </row>
    <row r="58" spans="1:6" x14ac:dyDescent="0.25">
      <c r="C58" t="s">
        <v>6</v>
      </c>
    </row>
    <row r="59" spans="1:6" x14ac:dyDescent="0.25">
      <c r="C59" t="s">
        <v>6</v>
      </c>
    </row>
    <row r="60" spans="1:6" x14ac:dyDescent="0.25">
      <c r="C60" t="s">
        <v>6</v>
      </c>
    </row>
    <row r="61" spans="1:6" x14ac:dyDescent="0.25">
      <c r="C61" t="s">
        <v>6</v>
      </c>
    </row>
    <row r="62" spans="1:6" x14ac:dyDescent="0.25">
      <c r="C62" t="s">
        <v>6</v>
      </c>
    </row>
    <row r="63" spans="1:6" x14ac:dyDescent="0.25">
      <c r="C63" t="s">
        <v>6</v>
      </c>
    </row>
    <row r="64" spans="1:6" x14ac:dyDescent="0.25">
      <c r="C64" t="s">
        <v>6</v>
      </c>
    </row>
    <row r="65" spans="1:3" x14ac:dyDescent="0.25">
      <c r="C65" t="s">
        <v>6</v>
      </c>
    </row>
    <row r="66" spans="1:3" x14ac:dyDescent="0.25">
      <c r="C66" t="s">
        <v>6</v>
      </c>
    </row>
    <row r="67" spans="1:3" x14ac:dyDescent="0.25">
      <c r="C67" t="s">
        <v>6</v>
      </c>
    </row>
    <row r="68" spans="1:3" x14ac:dyDescent="0.25">
      <c r="C68" t="s">
        <v>6</v>
      </c>
    </row>
    <row r="69" spans="1:3" ht="15.75" thickBot="1" x14ac:dyDescent="0.3">
      <c r="C69" t="s">
        <v>6</v>
      </c>
    </row>
    <row r="70" spans="1:3" ht="15.75" thickBot="1" x14ac:dyDescent="0.3">
      <c r="A70" t="s">
        <v>721</v>
      </c>
      <c r="C70" s="3"/>
    </row>
    <row r="71" spans="1:3" ht="15.75" thickBot="1" x14ac:dyDescent="0.3">
      <c r="A71" t="s">
        <v>722</v>
      </c>
      <c r="C71" s="6"/>
    </row>
    <row r="72" spans="1:3" x14ac:dyDescent="0.25">
      <c r="C72" t="s">
        <v>6</v>
      </c>
    </row>
    <row r="74" spans="1:3" x14ac:dyDescent="0.25">
      <c r="C74" t="s">
        <v>6</v>
      </c>
    </row>
    <row r="75" spans="1:3" x14ac:dyDescent="0.25">
      <c r="C75" t="s">
        <v>6</v>
      </c>
    </row>
    <row r="76" spans="1:3" x14ac:dyDescent="0.25">
      <c r="C76" t="s">
        <v>6</v>
      </c>
    </row>
    <row r="77" spans="1:3" x14ac:dyDescent="0.25">
      <c r="C77" t="s">
        <v>6</v>
      </c>
    </row>
    <row r="78" spans="1:3" x14ac:dyDescent="0.25">
      <c r="C78" t="s">
        <v>6</v>
      </c>
    </row>
    <row r="79" spans="1:3" x14ac:dyDescent="0.25">
      <c r="C79" t="s">
        <v>6</v>
      </c>
    </row>
    <row r="80" spans="1:3" x14ac:dyDescent="0.25">
      <c r="C80" t="s">
        <v>6</v>
      </c>
    </row>
    <row r="81" spans="3:3" x14ac:dyDescent="0.25">
      <c r="C81" t="s">
        <v>6</v>
      </c>
    </row>
    <row r="82" spans="3:3" x14ac:dyDescent="0.25">
      <c r="C82" t="s">
        <v>6</v>
      </c>
    </row>
    <row r="83" spans="3:3" x14ac:dyDescent="0.25">
      <c r="C83" t="s">
        <v>6</v>
      </c>
    </row>
    <row r="84" spans="3:3" x14ac:dyDescent="0.25">
      <c r="C84" t="s">
        <v>6</v>
      </c>
    </row>
    <row r="85" spans="3:3" x14ac:dyDescent="0.25">
      <c r="C85" t="s">
        <v>6</v>
      </c>
    </row>
    <row r="86" spans="3:3" x14ac:dyDescent="0.25">
      <c r="C86" t="s">
        <v>6</v>
      </c>
    </row>
    <row r="87" spans="3:3" x14ac:dyDescent="0.25">
      <c r="C87" t="s">
        <v>6</v>
      </c>
    </row>
    <row r="88" spans="3:3" x14ac:dyDescent="0.25">
      <c r="C88" t="s">
        <v>6</v>
      </c>
    </row>
    <row r="89" spans="3:3" x14ac:dyDescent="0.25">
      <c r="C89" t="s">
        <v>6</v>
      </c>
    </row>
    <row r="90" spans="3:3" x14ac:dyDescent="0.25">
      <c r="C90" t="s">
        <v>6</v>
      </c>
    </row>
    <row r="91" spans="3:3" x14ac:dyDescent="0.25">
      <c r="C91" t="s">
        <v>6</v>
      </c>
    </row>
    <row r="92" spans="3:3" x14ac:dyDescent="0.25">
      <c r="C92" t="s">
        <v>6</v>
      </c>
    </row>
    <row r="93" spans="3:3" x14ac:dyDescent="0.25">
      <c r="C93" t="s">
        <v>6</v>
      </c>
    </row>
    <row r="94" spans="3:3" x14ac:dyDescent="0.25">
      <c r="C94" t="s">
        <v>6</v>
      </c>
    </row>
    <row r="95" spans="3:3" x14ac:dyDescent="0.25">
      <c r="C95" t="s">
        <v>6</v>
      </c>
    </row>
    <row r="96" spans="3:3" x14ac:dyDescent="0.25">
      <c r="C96" t="s">
        <v>6</v>
      </c>
    </row>
    <row r="97" spans="3:3" x14ac:dyDescent="0.25">
      <c r="C97" t="s">
        <v>6</v>
      </c>
    </row>
    <row r="98" spans="3:3" x14ac:dyDescent="0.25">
      <c r="C98" t="s">
        <v>6</v>
      </c>
    </row>
    <row r="99" spans="3:3" x14ac:dyDescent="0.25">
      <c r="C99" t="s">
        <v>6</v>
      </c>
    </row>
    <row r="100" spans="3:3" x14ac:dyDescent="0.25">
      <c r="C100" t="s">
        <v>6</v>
      </c>
    </row>
    <row r="101" spans="3:3" x14ac:dyDescent="0.25">
      <c r="C101" t="s">
        <v>6</v>
      </c>
    </row>
    <row r="102" spans="3:3" x14ac:dyDescent="0.25">
      <c r="C102" t="s">
        <v>6</v>
      </c>
    </row>
    <row r="103" spans="3:3" x14ac:dyDescent="0.25">
      <c r="C103" t="s">
        <v>6</v>
      </c>
    </row>
    <row r="104" spans="3:3" x14ac:dyDescent="0.25">
      <c r="C104" t="s">
        <v>6</v>
      </c>
    </row>
    <row r="105" spans="3:3" x14ac:dyDescent="0.25">
      <c r="C105" t="s">
        <v>6</v>
      </c>
    </row>
    <row r="106" spans="3:3" x14ac:dyDescent="0.25">
      <c r="C106" t="s">
        <v>6</v>
      </c>
    </row>
    <row r="107" spans="3:3" x14ac:dyDescent="0.25">
      <c r="C107" t="s">
        <v>6</v>
      </c>
    </row>
    <row r="108" spans="3:3" x14ac:dyDescent="0.25">
      <c r="C108" t="s">
        <v>6</v>
      </c>
    </row>
    <row r="109" spans="3:3" x14ac:dyDescent="0.25">
      <c r="C109" t="s">
        <v>6</v>
      </c>
    </row>
    <row r="110" spans="3:3" x14ac:dyDescent="0.25">
      <c r="C110" t="s">
        <v>6</v>
      </c>
    </row>
    <row r="111" spans="3:3" x14ac:dyDescent="0.25">
      <c r="C111" t="s">
        <v>6</v>
      </c>
    </row>
    <row r="112" spans="3:3" x14ac:dyDescent="0.25">
      <c r="C112" t="s">
        <v>6</v>
      </c>
    </row>
    <row r="113" spans="3:3" x14ac:dyDescent="0.25">
      <c r="C113" t="s">
        <v>6</v>
      </c>
    </row>
    <row r="114" spans="3:3" x14ac:dyDescent="0.25">
      <c r="C114" t="s">
        <v>6</v>
      </c>
    </row>
    <row r="115" spans="3:3" x14ac:dyDescent="0.25">
      <c r="C115" t="s">
        <v>6</v>
      </c>
    </row>
    <row r="116" spans="3:3" x14ac:dyDescent="0.25">
      <c r="C116" t="s">
        <v>6</v>
      </c>
    </row>
    <row r="117" spans="3:3" x14ac:dyDescent="0.25">
      <c r="C117" t="s">
        <v>6</v>
      </c>
    </row>
    <row r="118" spans="3:3" x14ac:dyDescent="0.25">
      <c r="C118" t="s">
        <v>6</v>
      </c>
    </row>
    <row r="119" spans="3:3" x14ac:dyDescent="0.25">
      <c r="C119" t="s">
        <v>6</v>
      </c>
    </row>
    <row r="120" spans="3:3" x14ac:dyDescent="0.25">
      <c r="C120" t="s">
        <v>6</v>
      </c>
    </row>
    <row r="121" spans="3:3" x14ac:dyDescent="0.25">
      <c r="C121" t="s">
        <v>6</v>
      </c>
    </row>
    <row r="122" spans="3:3" x14ac:dyDescent="0.25">
      <c r="C122" t="s">
        <v>6</v>
      </c>
    </row>
    <row r="123" spans="3:3" x14ac:dyDescent="0.25">
      <c r="C123" t="s">
        <v>6</v>
      </c>
    </row>
    <row r="124" spans="3:3" x14ac:dyDescent="0.25">
      <c r="C124" t="s">
        <v>6</v>
      </c>
    </row>
    <row r="125" spans="3:3" x14ac:dyDescent="0.25">
      <c r="C125" t="s">
        <v>6</v>
      </c>
    </row>
    <row r="126" spans="3:3" x14ac:dyDescent="0.25">
      <c r="C126" t="s">
        <v>6</v>
      </c>
    </row>
    <row r="127" spans="3:3" x14ac:dyDescent="0.25">
      <c r="C127" t="s">
        <v>6</v>
      </c>
    </row>
    <row r="128" spans="3:3" x14ac:dyDescent="0.25">
      <c r="C128" t="s">
        <v>6</v>
      </c>
    </row>
    <row r="129" spans="3:3" x14ac:dyDescent="0.25">
      <c r="C129" t="s">
        <v>6</v>
      </c>
    </row>
    <row r="130" spans="3:3" x14ac:dyDescent="0.25">
      <c r="C130" t="s">
        <v>6</v>
      </c>
    </row>
    <row r="131" spans="3:3" x14ac:dyDescent="0.25">
      <c r="C131" t="s">
        <v>6</v>
      </c>
    </row>
    <row r="132" spans="3:3" x14ac:dyDescent="0.25">
      <c r="C132" t="s">
        <v>6</v>
      </c>
    </row>
    <row r="133" spans="3:3" x14ac:dyDescent="0.25">
      <c r="C133" t="s">
        <v>6</v>
      </c>
    </row>
    <row r="134" spans="3:3" x14ac:dyDescent="0.25">
      <c r="C134" t="s">
        <v>6</v>
      </c>
    </row>
    <row r="135" spans="3:3" x14ac:dyDescent="0.25">
      <c r="C135" t="s">
        <v>6</v>
      </c>
    </row>
    <row r="136" spans="3:3" x14ac:dyDescent="0.25">
      <c r="C136" t="s">
        <v>6</v>
      </c>
    </row>
    <row r="137" spans="3:3" x14ac:dyDescent="0.25">
      <c r="C137" t="s">
        <v>6</v>
      </c>
    </row>
    <row r="138" spans="3:3" x14ac:dyDescent="0.25">
      <c r="C138" t="s">
        <v>6</v>
      </c>
    </row>
    <row r="139" spans="3:3" x14ac:dyDescent="0.25">
      <c r="C139" t="s">
        <v>6</v>
      </c>
    </row>
    <row r="140" spans="3:3" x14ac:dyDescent="0.25">
      <c r="C140" t="s">
        <v>6</v>
      </c>
    </row>
    <row r="141" spans="3:3" x14ac:dyDescent="0.25">
      <c r="C141" t="s">
        <v>6</v>
      </c>
    </row>
    <row r="142" spans="3:3" x14ac:dyDescent="0.25">
      <c r="C142" t="s">
        <v>6</v>
      </c>
    </row>
    <row r="143" spans="3:3" x14ac:dyDescent="0.25">
      <c r="C143" t="s">
        <v>6</v>
      </c>
    </row>
    <row r="144" spans="3:3" x14ac:dyDescent="0.25">
      <c r="C144" t="s">
        <v>6</v>
      </c>
    </row>
    <row r="145" spans="3:3" x14ac:dyDescent="0.25">
      <c r="C145" t="s">
        <v>6</v>
      </c>
    </row>
    <row r="146" spans="3:3" x14ac:dyDescent="0.25">
      <c r="C146" t="s">
        <v>6</v>
      </c>
    </row>
    <row r="147" spans="3:3" x14ac:dyDescent="0.25">
      <c r="C147" t="s">
        <v>6</v>
      </c>
    </row>
    <row r="148" spans="3:3" x14ac:dyDescent="0.25">
      <c r="C148" t="s">
        <v>6</v>
      </c>
    </row>
    <row r="149" spans="3:3" x14ac:dyDescent="0.25">
      <c r="C149" t="s">
        <v>6</v>
      </c>
    </row>
    <row r="150" spans="3:3" x14ac:dyDescent="0.25">
      <c r="C150" t="s">
        <v>6</v>
      </c>
    </row>
    <row r="151" spans="3:3" x14ac:dyDescent="0.25">
      <c r="C151" t="s">
        <v>6</v>
      </c>
    </row>
    <row r="152" spans="3:3" x14ac:dyDescent="0.25">
      <c r="C152" t="s">
        <v>6</v>
      </c>
    </row>
    <row r="153" spans="3:3" x14ac:dyDescent="0.25">
      <c r="C153" t="s">
        <v>6</v>
      </c>
    </row>
    <row r="154" spans="3:3" x14ac:dyDescent="0.25">
      <c r="C154" t="s">
        <v>6</v>
      </c>
    </row>
    <row r="155" spans="3:3" x14ac:dyDescent="0.25">
      <c r="C155" t="s">
        <v>6</v>
      </c>
    </row>
    <row r="156" spans="3:3" x14ac:dyDescent="0.25">
      <c r="C156" t="s">
        <v>6</v>
      </c>
    </row>
    <row r="157" spans="3:3" x14ac:dyDescent="0.25">
      <c r="C157" t="s">
        <v>6</v>
      </c>
    </row>
    <row r="158" spans="3:3" x14ac:dyDescent="0.25">
      <c r="C158" t="s">
        <v>6</v>
      </c>
    </row>
    <row r="159" spans="3:3" x14ac:dyDescent="0.25">
      <c r="C159" t="s">
        <v>6</v>
      </c>
    </row>
    <row r="160" spans="3:3" x14ac:dyDescent="0.25">
      <c r="C160" t="s">
        <v>6</v>
      </c>
    </row>
    <row r="161" spans="3:3" x14ac:dyDescent="0.25">
      <c r="C161" t="s">
        <v>6</v>
      </c>
    </row>
    <row r="162" spans="3:3" x14ac:dyDescent="0.25">
      <c r="C162" t="s">
        <v>6</v>
      </c>
    </row>
    <row r="163" spans="3:3" x14ac:dyDescent="0.25">
      <c r="C163" t="s">
        <v>6</v>
      </c>
    </row>
    <row r="164" spans="3:3" x14ac:dyDescent="0.25">
      <c r="C164" t="s">
        <v>6</v>
      </c>
    </row>
    <row r="165" spans="3:3" x14ac:dyDescent="0.25">
      <c r="C165" t="s">
        <v>6</v>
      </c>
    </row>
    <row r="166" spans="3:3" x14ac:dyDescent="0.25">
      <c r="C166" t="s">
        <v>6</v>
      </c>
    </row>
    <row r="167" spans="3:3" x14ac:dyDescent="0.25">
      <c r="C167" t="s">
        <v>6</v>
      </c>
    </row>
    <row r="168" spans="3:3" x14ac:dyDescent="0.25">
      <c r="C168" t="s">
        <v>6</v>
      </c>
    </row>
    <row r="169" spans="3:3" x14ac:dyDescent="0.25">
      <c r="C169" t="s">
        <v>6</v>
      </c>
    </row>
    <row r="170" spans="3:3" x14ac:dyDescent="0.25">
      <c r="C170" t="s">
        <v>6</v>
      </c>
    </row>
    <row r="171" spans="3:3" x14ac:dyDescent="0.25">
      <c r="C171" t="s">
        <v>6</v>
      </c>
    </row>
    <row r="172" spans="3:3" x14ac:dyDescent="0.25">
      <c r="C172" t="s">
        <v>6</v>
      </c>
    </row>
    <row r="173" spans="3:3" x14ac:dyDescent="0.25">
      <c r="C173" t="s">
        <v>6</v>
      </c>
    </row>
    <row r="174" spans="3:3" x14ac:dyDescent="0.25">
      <c r="C174" t="s">
        <v>6</v>
      </c>
    </row>
    <row r="175" spans="3:3" x14ac:dyDescent="0.25">
      <c r="C175" t="s">
        <v>6</v>
      </c>
    </row>
    <row r="176" spans="3:3" x14ac:dyDescent="0.25">
      <c r="C176" t="s">
        <v>6</v>
      </c>
    </row>
    <row r="177" spans="3:3" x14ac:dyDescent="0.25">
      <c r="C177" t="s">
        <v>6</v>
      </c>
    </row>
    <row r="178" spans="3:3" x14ac:dyDescent="0.25">
      <c r="C178" t="s">
        <v>6</v>
      </c>
    </row>
    <row r="179" spans="3:3" x14ac:dyDescent="0.25">
      <c r="C179" t="s">
        <v>6</v>
      </c>
    </row>
    <row r="180" spans="3:3" x14ac:dyDescent="0.25">
      <c r="C180" t="s">
        <v>6</v>
      </c>
    </row>
    <row r="181" spans="3:3" x14ac:dyDescent="0.25">
      <c r="C181" t="s">
        <v>6</v>
      </c>
    </row>
    <row r="182" spans="3:3" x14ac:dyDescent="0.25">
      <c r="C182" t="s">
        <v>6</v>
      </c>
    </row>
    <row r="183" spans="3:3" x14ac:dyDescent="0.25">
      <c r="C183" t="s">
        <v>6</v>
      </c>
    </row>
    <row r="184" spans="3:3" x14ac:dyDescent="0.25">
      <c r="C184" t="s">
        <v>6</v>
      </c>
    </row>
    <row r="185" spans="3:3" x14ac:dyDescent="0.25">
      <c r="C185" t="s">
        <v>6</v>
      </c>
    </row>
    <row r="186" spans="3:3" x14ac:dyDescent="0.25">
      <c r="C186" t="s">
        <v>6</v>
      </c>
    </row>
    <row r="187" spans="3:3" x14ac:dyDescent="0.25">
      <c r="C187" t="s">
        <v>6</v>
      </c>
    </row>
    <row r="188" spans="3:3" x14ac:dyDescent="0.25">
      <c r="C188" t="s">
        <v>6</v>
      </c>
    </row>
    <row r="189" spans="3:3" x14ac:dyDescent="0.25">
      <c r="C189" t="s">
        <v>6</v>
      </c>
    </row>
    <row r="190" spans="3:3" x14ac:dyDescent="0.25">
      <c r="C190" t="s">
        <v>6</v>
      </c>
    </row>
    <row r="191" spans="3:3" x14ac:dyDescent="0.25">
      <c r="C191" t="s">
        <v>6</v>
      </c>
    </row>
    <row r="192" spans="3:3" x14ac:dyDescent="0.25">
      <c r="C192" t="s">
        <v>6</v>
      </c>
    </row>
    <row r="193" spans="3:3" x14ac:dyDescent="0.25">
      <c r="C193" t="s">
        <v>6</v>
      </c>
    </row>
    <row r="194" spans="3:3" x14ac:dyDescent="0.25">
      <c r="C194" t="s">
        <v>6</v>
      </c>
    </row>
    <row r="195" spans="3:3" x14ac:dyDescent="0.25">
      <c r="C195" t="s">
        <v>6</v>
      </c>
    </row>
    <row r="196" spans="3:3" x14ac:dyDescent="0.25">
      <c r="C196" t="s">
        <v>6</v>
      </c>
    </row>
    <row r="197" spans="3:3" x14ac:dyDescent="0.25">
      <c r="C197" t="s">
        <v>6</v>
      </c>
    </row>
    <row r="198" spans="3:3" x14ac:dyDescent="0.25">
      <c r="C198" t="s">
        <v>6</v>
      </c>
    </row>
    <row r="199" spans="3:3" x14ac:dyDescent="0.25">
      <c r="C199" t="s">
        <v>6</v>
      </c>
    </row>
    <row r="200" spans="3:3" x14ac:dyDescent="0.25">
      <c r="C200" t="s">
        <v>6</v>
      </c>
    </row>
    <row r="201" spans="3:3" x14ac:dyDescent="0.25">
      <c r="C201" t="s">
        <v>6</v>
      </c>
    </row>
    <row r="202" spans="3:3" x14ac:dyDescent="0.25">
      <c r="C202" t="s">
        <v>6</v>
      </c>
    </row>
    <row r="203" spans="3:3" x14ac:dyDescent="0.25">
      <c r="C203" t="s">
        <v>6</v>
      </c>
    </row>
    <row r="204" spans="3:3" x14ac:dyDescent="0.25">
      <c r="C204" t="s">
        <v>6</v>
      </c>
    </row>
    <row r="205" spans="3:3" x14ac:dyDescent="0.25">
      <c r="C205" t="s">
        <v>6</v>
      </c>
    </row>
    <row r="206" spans="3:3" x14ac:dyDescent="0.25">
      <c r="C206" t="s">
        <v>6</v>
      </c>
    </row>
    <row r="207" spans="3:3" x14ac:dyDescent="0.25">
      <c r="C207" t="s">
        <v>6</v>
      </c>
    </row>
    <row r="208" spans="3:3" x14ac:dyDescent="0.25">
      <c r="C208" t="s">
        <v>6</v>
      </c>
    </row>
    <row r="209" spans="3:3" x14ac:dyDescent="0.25">
      <c r="C209" t="s">
        <v>6</v>
      </c>
    </row>
    <row r="210" spans="3:3" x14ac:dyDescent="0.25">
      <c r="C210" t="s">
        <v>6</v>
      </c>
    </row>
    <row r="211" spans="3:3" x14ac:dyDescent="0.25">
      <c r="C211" t="s">
        <v>6</v>
      </c>
    </row>
    <row r="212" spans="3:3" x14ac:dyDescent="0.25">
      <c r="C212" t="s">
        <v>6</v>
      </c>
    </row>
    <row r="213" spans="3:3" x14ac:dyDescent="0.25">
      <c r="C213" t="s">
        <v>6</v>
      </c>
    </row>
    <row r="214" spans="3:3" x14ac:dyDescent="0.25">
      <c r="C214" t="s">
        <v>6</v>
      </c>
    </row>
    <row r="215" spans="3:3" x14ac:dyDescent="0.25">
      <c r="C215" t="s">
        <v>6</v>
      </c>
    </row>
    <row r="216" spans="3:3" x14ac:dyDescent="0.25">
      <c r="C216" t="s">
        <v>6</v>
      </c>
    </row>
    <row r="217" spans="3:3" x14ac:dyDescent="0.25">
      <c r="C217" t="s">
        <v>6</v>
      </c>
    </row>
    <row r="218" spans="3:3" x14ac:dyDescent="0.25">
      <c r="C218" t="s">
        <v>6</v>
      </c>
    </row>
    <row r="219" spans="3:3" x14ac:dyDescent="0.25">
      <c r="C219" t="s">
        <v>6</v>
      </c>
    </row>
    <row r="220" spans="3:3" x14ac:dyDescent="0.25">
      <c r="C220" t="s">
        <v>6</v>
      </c>
    </row>
    <row r="221" spans="3:3" x14ac:dyDescent="0.25">
      <c r="C221" t="s">
        <v>6</v>
      </c>
    </row>
    <row r="222" spans="3:3" x14ac:dyDescent="0.25">
      <c r="C222" t="s">
        <v>6</v>
      </c>
    </row>
    <row r="223" spans="3:3" x14ac:dyDescent="0.25">
      <c r="C223" t="s">
        <v>6</v>
      </c>
    </row>
    <row r="224" spans="3:3" x14ac:dyDescent="0.25">
      <c r="C224" t="s">
        <v>6</v>
      </c>
    </row>
    <row r="225" spans="3:3" x14ac:dyDescent="0.25">
      <c r="C225" t="s">
        <v>6</v>
      </c>
    </row>
    <row r="226" spans="3:3" x14ac:dyDescent="0.25">
      <c r="C226" t="s">
        <v>6</v>
      </c>
    </row>
    <row r="227" spans="3:3" x14ac:dyDescent="0.25">
      <c r="C227" t="s">
        <v>6</v>
      </c>
    </row>
    <row r="228" spans="3:3" x14ac:dyDescent="0.25">
      <c r="C228" t="s">
        <v>6</v>
      </c>
    </row>
    <row r="229" spans="3:3" x14ac:dyDescent="0.25">
      <c r="C229" t="s">
        <v>6</v>
      </c>
    </row>
    <row r="230" spans="3:3" x14ac:dyDescent="0.25">
      <c r="C230" t="s">
        <v>6</v>
      </c>
    </row>
    <row r="231" spans="3:3" x14ac:dyDescent="0.25">
      <c r="C231" t="s">
        <v>6</v>
      </c>
    </row>
    <row r="232" spans="3:3" x14ac:dyDescent="0.25">
      <c r="C232" t="s">
        <v>6</v>
      </c>
    </row>
    <row r="233" spans="3:3" x14ac:dyDescent="0.25">
      <c r="C233" t="s">
        <v>6</v>
      </c>
    </row>
    <row r="234" spans="3:3" x14ac:dyDescent="0.25">
      <c r="C234" t="s">
        <v>6</v>
      </c>
    </row>
    <row r="235" spans="3:3" x14ac:dyDescent="0.25">
      <c r="C235" t="s">
        <v>6</v>
      </c>
    </row>
    <row r="236" spans="3:3" x14ac:dyDescent="0.25">
      <c r="C236" t="s">
        <v>6</v>
      </c>
    </row>
    <row r="237" spans="3:3" x14ac:dyDescent="0.25">
      <c r="C237" t="s">
        <v>6</v>
      </c>
    </row>
    <row r="238" spans="3:3" x14ac:dyDescent="0.25">
      <c r="C238" t="s">
        <v>6</v>
      </c>
    </row>
    <row r="239" spans="3:3" x14ac:dyDescent="0.25">
      <c r="C239" t="s">
        <v>6</v>
      </c>
    </row>
    <row r="240" spans="3:3" x14ac:dyDescent="0.25">
      <c r="C240" t="s">
        <v>6</v>
      </c>
    </row>
    <row r="241" spans="3:3" x14ac:dyDescent="0.25">
      <c r="C241" t="s">
        <v>6</v>
      </c>
    </row>
    <row r="242" spans="3:3" x14ac:dyDescent="0.25">
      <c r="C242" t="s">
        <v>6</v>
      </c>
    </row>
    <row r="243" spans="3:3" x14ac:dyDescent="0.25">
      <c r="C243" t="s">
        <v>6</v>
      </c>
    </row>
    <row r="244" spans="3:3" x14ac:dyDescent="0.25">
      <c r="C244" t="s">
        <v>6</v>
      </c>
    </row>
    <row r="245" spans="3:3" x14ac:dyDescent="0.25">
      <c r="C245" t="s">
        <v>6</v>
      </c>
    </row>
    <row r="246" spans="3:3" x14ac:dyDescent="0.25">
      <c r="C246" t="s">
        <v>6</v>
      </c>
    </row>
    <row r="247" spans="3:3" x14ac:dyDescent="0.25">
      <c r="C247" t="s">
        <v>6</v>
      </c>
    </row>
    <row r="248" spans="3:3" x14ac:dyDescent="0.25">
      <c r="C248" t="s">
        <v>6</v>
      </c>
    </row>
    <row r="249" spans="3:3" x14ac:dyDescent="0.25">
      <c r="C249" t="s">
        <v>6</v>
      </c>
    </row>
    <row r="250" spans="3:3" x14ac:dyDescent="0.25">
      <c r="C250" t="s">
        <v>6</v>
      </c>
    </row>
    <row r="251" spans="3:3" x14ac:dyDescent="0.25">
      <c r="C251" t="s">
        <v>6</v>
      </c>
    </row>
    <row r="252" spans="3:3" x14ac:dyDescent="0.25">
      <c r="C252" t="s">
        <v>6</v>
      </c>
    </row>
    <row r="253" spans="3:3" x14ac:dyDescent="0.25">
      <c r="C253" t="s">
        <v>6</v>
      </c>
    </row>
    <row r="254" spans="3:3" x14ac:dyDescent="0.25">
      <c r="C254" t="s">
        <v>6</v>
      </c>
    </row>
    <row r="255" spans="3:3" x14ac:dyDescent="0.25">
      <c r="C255" t="s">
        <v>6</v>
      </c>
    </row>
    <row r="256" spans="3:3" x14ac:dyDescent="0.25">
      <c r="C256" t="s">
        <v>6</v>
      </c>
    </row>
    <row r="257" spans="3:3" x14ac:dyDescent="0.25">
      <c r="C257" t="s">
        <v>6</v>
      </c>
    </row>
    <row r="258" spans="3:3" x14ac:dyDescent="0.25">
      <c r="C258" t="s">
        <v>6</v>
      </c>
    </row>
    <row r="259" spans="3:3" x14ac:dyDescent="0.25">
      <c r="C259" t="s">
        <v>6</v>
      </c>
    </row>
    <row r="260" spans="3:3" x14ac:dyDescent="0.25">
      <c r="C260" t="s">
        <v>6</v>
      </c>
    </row>
    <row r="261" spans="3:3" x14ac:dyDescent="0.25">
      <c r="C261" t="s">
        <v>6</v>
      </c>
    </row>
    <row r="262" spans="3:3" x14ac:dyDescent="0.25">
      <c r="C262" t="s">
        <v>6</v>
      </c>
    </row>
    <row r="263" spans="3:3" x14ac:dyDescent="0.25">
      <c r="C263" t="s">
        <v>6</v>
      </c>
    </row>
    <row r="264" spans="3:3" x14ac:dyDescent="0.25">
      <c r="C264" t="s">
        <v>6</v>
      </c>
    </row>
    <row r="265" spans="3:3" x14ac:dyDescent="0.25">
      <c r="C265" s="2" t="s">
        <v>6</v>
      </c>
    </row>
    <row r="266" spans="3:3" x14ac:dyDescent="0.25">
      <c r="C266" t="s">
        <v>6</v>
      </c>
    </row>
    <row r="267" spans="3:3" x14ac:dyDescent="0.25">
      <c r="C267" t="s">
        <v>6</v>
      </c>
    </row>
    <row r="268" spans="3:3" x14ac:dyDescent="0.25">
      <c r="C268" t="s">
        <v>6</v>
      </c>
    </row>
    <row r="269" spans="3:3" x14ac:dyDescent="0.25">
      <c r="C269" t="s">
        <v>6</v>
      </c>
    </row>
    <row r="270" spans="3:3" x14ac:dyDescent="0.25">
      <c r="C270" s="2" t="s">
        <v>6</v>
      </c>
    </row>
    <row r="271" spans="3:3" x14ac:dyDescent="0.25">
      <c r="C271" t="s">
        <v>6</v>
      </c>
    </row>
    <row r="272" spans="3:3" x14ac:dyDescent="0.25">
      <c r="C272" t="s">
        <v>6</v>
      </c>
    </row>
    <row r="273" spans="3:3" x14ac:dyDescent="0.25">
      <c r="C273" t="s">
        <v>6</v>
      </c>
    </row>
    <row r="274" spans="3:3" x14ac:dyDescent="0.25">
      <c r="C274" t="s">
        <v>6</v>
      </c>
    </row>
    <row r="275" spans="3:3" x14ac:dyDescent="0.25">
      <c r="C275" t="s">
        <v>6</v>
      </c>
    </row>
    <row r="276" spans="3:3" x14ac:dyDescent="0.25">
      <c r="C276" t="s">
        <v>6</v>
      </c>
    </row>
    <row r="277" spans="3:3" x14ac:dyDescent="0.25">
      <c r="C277" t="s">
        <v>6</v>
      </c>
    </row>
    <row r="278" spans="3:3" x14ac:dyDescent="0.25">
      <c r="C278" t="s">
        <v>6</v>
      </c>
    </row>
    <row r="279" spans="3:3" x14ac:dyDescent="0.25">
      <c r="C279" t="s">
        <v>6</v>
      </c>
    </row>
    <row r="280" spans="3:3" x14ac:dyDescent="0.25">
      <c r="C280" s="4" t="s">
        <v>6</v>
      </c>
    </row>
    <row r="281" spans="3:3" x14ac:dyDescent="0.25">
      <c r="C281" s="4" t="s">
        <v>6</v>
      </c>
    </row>
    <row r="282" spans="3:3" x14ac:dyDescent="0.25">
      <c r="C282" s="4" t="s">
        <v>6</v>
      </c>
    </row>
    <row r="283" spans="3:3" x14ac:dyDescent="0.25">
      <c r="C283" s="4" t="s">
        <v>6</v>
      </c>
    </row>
    <row r="284" spans="3:3" x14ac:dyDescent="0.25">
      <c r="C284" s="4" t="s">
        <v>6</v>
      </c>
    </row>
    <row r="285" spans="3:3" x14ac:dyDescent="0.25">
      <c r="C285" s="4" t="s">
        <v>6</v>
      </c>
    </row>
    <row r="286" spans="3:3" x14ac:dyDescent="0.25">
      <c r="C286" t="s">
        <v>6</v>
      </c>
    </row>
    <row r="287" spans="3:3" x14ac:dyDescent="0.25">
      <c r="C287" t="s">
        <v>6</v>
      </c>
    </row>
    <row r="288" spans="3:3" x14ac:dyDescent="0.25">
      <c r="C288" t="s">
        <v>6</v>
      </c>
    </row>
    <row r="289" spans="3:3" x14ac:dyDescent="0.25">
      <c r="C289" t="s">
        <v>6</v>
      </c>
    </row>
    <row r="290" spans="3:3" x14ac:dyDescent="0.25">
      <c r="C290" t="s">
        <v>6</v>
      </c>
    </row>
    <row r="291" spans="3:3" x14ac:dyDescent="0.25">
      <c r="C291" t="s">
        <v>6</v>
      </c>
    </row>
    <row r="292" spans="3:3" x14ac:dyDescent="0.25">
      <c r="C292" t="s">
        <v>6</v>
      </c>
    </row>
    <row r="293" spans="3:3" x14ac:dyDescent="0.25">
      <c r="C293" s="2" t="s">
        <v>6</v>
      </c>
    </row>
    <row r="294" spans="3:3" x14ac:dyDescent="0.25">
      <c r="C294" t="s">
        <v>6</v>
      </c>
    </row>
    <row r="295" spans="3:3" x14ac:dyDescent="0.25">
      <c r="C295" s="2" t="s">
        <v>6</v>
      </c>
    </row>
    <row r="296" spans="3:3" x14ac:dyDescent="0.25">
      <c r="C296" t="s">
        <v>6</v>
      </c>
    </row>
    <row r="297" spans="3:3" x14ac:dyDescent="0.25">
      <c r="C297" t="s">
        <v>6</v>
      </c>
    </row>
    <row r="298" spans="3:3" x14ac:dyDescent="0.25">
      <c r="C298" t="s">
        <v>6</v>
      </c>
    </row>
    <row r="299" spans="3:3" x14ac:dyDescent="0.25">
      <c r="C299" t="s">
        <v>6</v>
      </c>
    </row>
    <row r="300" spans="3:3" x14ac:dyDescent="0.25">
      <c r="C300" t="s">
        <v>6</v>
      </c>
    </row>
    <row r="301" spans="3:3" x14ac:dyDescent="0.25">
      <c r="C301" t="s">
        <v>6</v>
      </c>
    </row>
    <row r="302" spans="3:3" x14ac:dyDescent="0.25">
      <c r="C302" t="s">
        <v>6</v>
      </c>
    </row>
    <row r="303" spans="3:3" x14ac:dyDescent="0.25">
      <c r="C303" t="s">
        <v>6</v>
      </c>
    </row>
    <row r="304" spans="3:3" x14ac:dyDescent="0.25">
      <c r="C304" t="s">
        <v>6</v>
      </c>
    </row>
    <row r="305" spans="3:3" x14ac:dyDescent="0.25">
      <c r="C305" s="2" t="s">
        <v>6</v>
      </c>
    </row>
    <row r="306" spans="3:3" x14ac:dyDescent="0.25">
      <c r="C306" t="s">
        <v>6</v>
      </c>
    </row>
    <row r="307" spans="3:3" x14ac:dyDescent="0.25">
      <c r="C307" t="s">
        <v>6</v>
      </c>
    </row>
    <row r="308" spans="3:3" x14ac:dyDescent="0.25">
      <c r="C308" t="s">
        <v>6</v>
      </c>
    </row>
    <row r="309" spans="3:3" x14ac:dyDescent="0.25">
      <c r="C309" t="s">
        <v>6</v>
      </c>
    </row>
    <row r="310" spans="3:3" x14ac:dyDescent="0.25">
      <c r="C310" t="s">
        <v>6</v>
      </c>
    </row>
    <row r="311" spans="3:3" x14ac:dyDescent="0.25">
      <c r="C311" t="s">
        <v>6</v>
      </c>
    </row>
    <row r="312" spans="3:3" x14ac:dyDescent="0.25">
      <c r="C312" t="s">
        <v>6</v>
      </c>
    </row>
    <row r="313" spans="3:3" x14ac:dyDescent="0.25">
      <c r="C313" t="s">
        <v>6</v>
      </c>
    </row>
    <row r="314" spans="3:3" x14ac:dyDescent="0.25">
      <c r="C314" t="s">
        <v>6</v>
      </c>
    </row>
    <row r="315" spans="3:3" x14ac:dyDescent="0.25">
      <c r="C315" t="s">
        <v>6</v>
      </c>
    </row>
    <row r="316" spans="3:3" x14ac:dyDescent="0.25">
      <c r="C316" t="s">
        <v>6</v>
      </c>
    </row>
    <row r="317" spans="3:3" x14ac:dyDescent="0.25">
      <c r="C317" t="s">
        <v>6</v>
      </c>
    </row>
    <row r="318" spans="3:3" x14ac:dyDescent="0.25">
      <c r="C318" t="s">
        <v>6</v>
      </c>
    </row>
    <row r="319" spans="3:3" x14ac:dyDescent="0.25">
      <c r="C319" t="s">
        <v>6</v>
      </c>
    </row>
    <row r="320" spans="3:3" x14ac:dyDescent="0.25">
      <c r="C320" t="s">
        <v>6</v>
      </c>
    </row>
    <row r="321" spans="3:3" x14ac:dyDescent="0.25">
      <c r="C321" t="s">
        <v>6</v>
      </c>
    </row>
    <row r="322" spans="3:3" x14ac:dyDescent="0.25">
      <c r="C322" t="s">
        <v>6</v>
      </c>
    </row>
    <row r="323" spans="3:3" x14ac:dyDescent="0.25">
      <c r="C323" t="s">
        <v>6</v>
      </c>
    </row>
    <row r="324" spans="3:3" x14ac:dyDescent="0.25">
      <c r="C324" t="s">
        <v>6</v>
      </c>
    </row>
    <row r="325" spans="3:3" x14ac:dyDescent="0.25">
      <c r="C325" t="s">
        <v>6</v>
      </c>
    </row>
    <row r="326" spans="3:3" x14ac:dyDescent="0.25">
      <c r="C326" t="s">
        <v>6</v>
      </c>
    </row>
    <row r="327" spans="3:3" x14ac:dyDescent="0.25">
      <c r="C327" t="s">
        <v>6</v>
      </c>
    </row>
    <row r="328" spans="3:3" x14ac:dyDescent="0.25">
      <c r="C328" t="s">
        <v>6</v>
      </c>
    </row>
    <row r="329" spans="3:3" x14ac:dyDescent="0.25">
      <c r="C329" t="s">
        <v>6</v>
      </c>
    </row>
    <row r="330" spans="3:3" x14ac:dyDescent="0.25">
      <c r="C330" t="s">
        <v>6</v>
      </c>
    </row>
    <row r="331" spans="3:3" x14ac:dyDescent="0.25">
      <c r="C331" t="s">
        <v>6</v>
      </c>
    </row>
    <row r="332" spans="3:3" x14ac:dyDescent="0.25">
      <c r="C332" t="s">
        <v>6</v>
      </c>
    </row>
    <row r="333" spans="3:3" x14ac:dyDescent="0.25">
      <c r="C333" t="s">
        <v>6</v>
      </c>
    </row>
    <row r="334" spans="3:3" x14ac:dyDescent="0.25">
      <c r="C334" t="s">
        <v>6</v>
      </c>
    </row>
    <row r="335" spans="3:3" x14ac:dyDescent="0.25">
      <c r="C335" t="s">
        <v>6</v>
      </c>
    </row>
    <row r="336" spans="3:3" x14ac:dyDescent="0.25">
      <c r="C336" t="s">
        <v>6</v>
      </c>
    </row>
    <row r="337" spans="3:3" x14ac:dyDescent="0.25">
      <c r="C337" t="s">
        <v>6</v>
      </c>
    </row>
    <row r="338" spans="3:3" x14ac:dyDescent="0.25">
      <c r="C338" t="s">
        <v>6</v>
      </c>
    </row>
    <row r="339" spans="3:3" x14ac:dyDescent="0.25">
      <c r="C339" t="s">
        <v>6</v>
      </c>
    </row>
    <row r="340" spans="3:3" x14ac:dyDescent="0.25">
      <c r="C340" t="s">
        <v>6</v>
      </c>
    </row>
    <row r="341" spans="3:3" x14ac:dyDescent="0.25">
      <c r="C341" t="s">
        <v>6</v>
      </c>
    </row>
    <row r="342" spans="3:3" x14ac:dyDescent="0.25">
      <c r="C342" t="s">
        <v>6</v>
      </c>
    </row>
    <row r="343" spans="3:3" x14ac:dyDescent="0.25">
      <c r="C343" t="s">
        <v>6</v>
      </c>
    </row>
    <row r="344" spans="3:3" x14ac:dyDescent="0.25">
      <c r="C344" t="s">
        <v>6</v>
      </c>
    </row>
    <row r="345" spans="3:3" x14ac:dyDescent="0.25">
      <c r="C345" t="s">
        <v>6</v>
      </c>
    </row>
    <row r="346" spans="3:3" x14ac:dyDescent="0.25">
      <c r="C346" t="s">
        <v>6</v>
      </c>
    </row>
    <row r="347" spans="3:3" x14ac:dyDescent="0.25">
      <c r="C347" t="s">
        <v>6</v>
      </c>
    </row>
    <row r="348" spans="3:3" x14ac:dyDescent="0.25">
      <c r="C348" t="s">
        <v>6</v>
      </c>
    </row>
    <row r="349" spans="3:3" x14ac:dyDescent="0.25">
      <c r="C349" t="s">
        <v>6</v>
      </c>
    </row>
    <row r="350" spans="3:3" x14ac:dyDescent="0.25">
      <c r="C350" t="s">
        <v>6</v>
      </c>
    </row>
    <row r="351" spans="3:3" x14ac:dyDescent="0.25">
      <c r="C351" t="s">
        <v>6</v>
      </c>
    </row>
    <row r="352" spans="3:3" x14ac:dyDescent="0.25">
      <c r="C352" t="s">
        <v>6</v>
      </c>
    </row>
    <row r="353" spans="3:3" x14ac:dyDescent="0.25">
      <c r="C353" t="s">
        <v>6</v>
      </c>
    </row>
    <row r="354" spans="3:3" x14ac:dyDescent="0.25">
      <c r="C354" t="s">
        <v>6</v>
      </c>
    </row>
    <row r="355" spans="3:3" x14ac:dyDescent="0.25">
      <c r="C355" t="s">
        <v>6</v>
      </c>
    </row>
    <row r="356" spans="3:3" x14ac:dyDescent="0.25">
      <c r="C356" t="s">
        <v>6</v>
      </c>
    </row>
    <row r="357" spans="3:3" x14ac:dyDescent="0.25">
      <c r="C357" t="s">
        <v>6</v>
      </c>
    </row>
    <row r="358" spans="3:3" x14ac:dyDescent="0.25">
      <c r="C358" t="s">
        <v>6</v>
      </c>
    </row>
    <row r="359" spans="3:3" x14ac:dyDescent="0.25">
      <c r="C359" t="s">
        <v>6</v>
      </c>
    </row>
    <row r="360" spans="3:3" x14ac:dyDescent="0.25">
      <c r="C360" t="s">
        <v>6</v>
      </c>
    </row>
    <row r="361" spans="3:3" x14ac:dyDescent="0.25">
      <c r="C361" t="s">
        <v>6</v>
      </c>
    </row>
    <row r="362" spans="3:3" x14ac:dyDescent="0.25">
      <c r="C362" t="s">
        <v>6</v>
      </c>
    </row>
    <row r="363" spans="3:3" x14ac:dyDescent="0.25">
      <c r="C363" t="s">
        <v>6</v>
      </c>
    </row>
    <row r="364" spans="3:3" x14ac:dyDescent="0.25">
      <c r="C364" t="s">
        <v>6</v>
      </c>
    </row>
    <row r="365" spans="3:3" x14ac:dyDescent="0.25">
      <c r="C365" t="s">
        <v>6</v>
      </c>
    </row>
    <row r="366" spans="3:3" x14ac:dyDescent="0.25">
      <c r="C366" t="s">
        <v>6</v>
      </c>
    </row>
    <row r="367" spans="3:3" x14ac:dyDescent="0.25">
      <c r="C367" t="s">
        <v>6</v>
      </c>
    </row>
    <row r="368" spans="3:3" x14ac:dyDescent="0.25">
      <c r="C368" t="s">
        <v>6</v>
      </c>
    </row>
    <row r="369" spans="3:3" x14ac:dyDescent="0.25">
      <c r="C369" t="s">
        <v>6</v>
      </c>
    </row>
    <row r="370" spans="3:3" x14ac:dyDescent="0.25">
      <c r="C370" t="s">
        <v>6</v>
      </c>
    </row>
    <row r="371" spans="3:3" x14ac:dyDescent="0.25">
      <c r="C371" t="s">
        <v>6</v>
      </c>
    </row>
    <row r="372" spans="3:3" x14ac:dyDescent="0.25">
      <c r="C372" t="s">
        <v>6</v>
      </c>
    </row>
    <row r="373" spans="3:3" x14ac:dyDescent="0.25">
      <c r="C373" t="s">
        <v>6</v>
      </c>
    </row>
    <row r="374" spans="3:3" x14ac:dyDescent="0.25">
      <c r="C374" t="s">
        <v>6</v>
      </c>
    </row>
    <row r="375" spans="3:3" x14ac:dyDescent="0.25">
      <c r="C375" t="s">
        <v>6</v>
      </c>
    </row>
    <row r="376" spans="3:3" x14ac:dyDescent="0.25">
      <c r="C376" t="s">
        <v>6</v>
      </c>
    </row>
    <row r="377" spans="3:3" x14ac:dyDescent="0.25">
      <c r="C377" t="s">
        <v>6</v>
      </c>
    </row>
    <row r="378" spans="3:3" x14ac:dyDescent="0.25">
      <c r="C378" t="s">
        <v>6</v>
      </c>
    </row>
    <row r="379" spans="3:3" x14ac:dyDescent="0.25">
      <c r="C379" t="s">
        <v>6</v>
      </c>
    </row>
    <row r="380" spans="3:3" x14ac:dyDescent="0.25">
      <c r="C380" t="s">
        <v>6</v>
      </c>
    </row>
    <row r="381" spans="3:3" x14ac:dyDescent="0.25">
      <c r="C381" t="s">
        <v>6</v>
      </c>
    </row>
    <row r="382" spans="3:3" x14ac:dyDescent="0.25">
      <c r="C382" t="s">
        <v>6</v>
      </c>
    </row>
    <row r="383" spans="3:3" x14ac:dyDescent="0.25">
      <c r="C383" t="s">
        <v>6</v>
      </c>
    </row>
    <row r="384" spans="3:3" x14ac:dyDescent="0.25">
      <c r="C384" t="s">
        <v>6</v>
      </c>
    </row>
    <row r="385" spans="3:3" x14ac:dyDescent="0.25">
      <c r="C385" t="s">
        <v>6</v>
      </c>
    </row>
    <row r="386" spans="3:3" x14ac:dyDescent="0.25">
      <c r="C386" t="s">
        <v>6</v>
      </c>
    </row>
    <row r="387" spans="3:3" x14ac:dyDescent="0.25">
      <c r="C387" t="s">
        <v>6</v>
      </c>
    </row>
    <row r="388" spans="3:3" x14ac:dyDescent="0.25">
      <c r="C388" t="s">
        <v>6</v>
      </c>
    </row>
    <row r="389" spans="3:3" x14ac:dyDescent="0.25">
      <c r="C389" t="s">
        <v>6</v>
      </c>
    </row>
    <row r="390" spans="3:3" x14ac:dyDescent="0.25">
      <c r="C390" t="s">
        <v>6</v>
      </c>
    </row>
    <row r="391" spans="3:3" x14ac:dyDescent="0.25">
      <c r="C391" t="s">
        <v>6</v>
      </c>
    </row>
    <row r="392" spans="3:3" x14ac:dyDescent="0.25">
      <c r="C392" t="s">
        <v>6</v>
      </c>
    </row>
    <row r="393" spans="3:3" x14ac:dyDescent="0.25">
      <c r="C393" t="s">
        <v>6</v>
      </c>
    </row>
    <row r="394" spans="3:3" x14ac:dyDescent="0.25">
      <c r="C394" t="s">
        <v>6</v>
      </c>
    </row>
    <row r="395" spans="3:3" x14ac:dyDescent="0.25">
      <c r="C395" t="s">
        <v>6</v>
      </c>
    </row>
    <row r="396" spans="3:3" x14ac:dyDescent="0.25">
      <c r="C396" t="s">
        <v>6</v>
      </c>
    </row>
  </sheetData>
  <sortState ref="C17:C388">
    <sortCondition descending="1" ref="C17:C388"/>
  </sortState>
  <mergeCells count="2">
    <mergeCell ref="A5:B6"/>
    <mergeCell ref="B24:C25"/>
  </mergeCells>
  <dataValidations count="2">
    <dataValidation type="list" allowBlank="1" showInputMessage="1" showErrorMessage="1" sqref="C5">
      <formula1>$F$2:$F$13</formula1>
    </dataValidation>
    <dataValidation type="list" allowBlank="1" showInputMessage="1" showErrorMessage="1" sqref="C6">
      <formula1>$H$2:$H$32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E372"/>
  <sheetViews>
    <sheetView topLeftCell="A341" workbookViewId="0">
      <selection activeCell="B1" sqref="B1"/>
    </sheetView>
  </sheetViews>
  <sheetFormatPr defaultRowHeight="15" x14ac:dyDescent="0.25"/>
  <cols>
    <col min="1" max="1" width="14.28515625" bestFit="1" customWidth="1"/>
    <col min="2" max="2" width="20.5703125" bestFit="1" customWidth="1"/>
    <col min="4" max="5" width="9.140625" style="1"/>
  </cols>
  <sheetData>
    <row r="1" spans="1:5" x14ac:dyDescent="0.25">
      <c r="A1" t="s">
        <v>8</v>
      </c>
      <c r="B1" t="s">
        <v>9</v>
      </c>
      <c r="D1" s="1">
        <f>COUNTIF(B1,Feladványok!#REF!)</f>
        <v>0</v>
      </c>
      <c r="E1" s="1" t="str">
        <f>IF(D1&gt;0,A1,"")</f>
        <v/>
      </c>
    </row>
    <row r="2" spans="1:5" x14ac:dyDescent="0.25">
      <c r="A2" t="s">
        <v>10</v>
      </c>
      <c r="B2" t="s">
        <v>11</v>
      </c>
      <c r="D2" s="1">
        <f>COUNTIF(B2,Feladványok!#REF!)</f>
        <v>0</v>
      </c>
      <c r="E2" s="1" t="str">
        <f t="shared" ref="E2:E65" si="0">IF(D2&gt;0,A2,"")</f>
        <v/>
      </c>
    </row>
    <row r="3" spans="1:5" x14ac:dyDescent="0.25">
      <c r="A3" t="s">
        <v>12</v>
      </c>
      <c r="B3" t="s">
        <v>13</v>
      </c>
      <c r="D3" s="1">
        <f>COUNTIF(B3,Feladványok!#REF!)</f>
        <v>0</v>
      </c>
      <c r="E3" s="1" t="str">
        <f t="shared" si="0"/>
        <v/>
      </c>
    </row>
    <row r="4" spans="1:5" x14ac:dyDescent="0.25">
      <c r="A4" t="s">
        <v>14</v>
      </c>
      <c r="B4" t="s">
        <v>15</v>
      </c>
      <c r="D4" s="1">
        <f>COUNTIF(B4,Feladványok!#REF!)</f>
        <v>0</v>
      </c>
      <c r="E4" s="1" t="str">
        <f t="shared" si="0"/>
        <v/>
      </c>
    </row>
    <row r="5" spans="1:5" x14ac:dyDescent="0.25">
      <c r="A5" t="s">
        <v>16</v>
      </c>
      <c r="B5" t="s">
        <v>17</v>
      </c>
      <c r="D5" s="1">
        <f>COUNTIF(B5,Feladványok!#REF!)</f>
        <v>0</v>
      </c>
      <c r="E5" s="1" t="str">
        <f t="shared" si="0"/>
        <v/>
      </c>
    </row>
    <row r="6" spans="1:5" x14ac:dyDescent="0.25">
      <c r="A6" t="s">
        <v>18</v>
      </c>
      <c r="B6" t="s">
        <v>19</v>
      </c>
      <c r="D6" s="1">
        <f>COUNTIF(B6,Feladványok!#REF!)</f>
        <v>0</v>
      </c>
      <c r="E6" s="1" t="str">
        <f t="shared" si="0"/>
        <v/>
      </c>
    </row>
    <row r="7" spans="1:5" x14ac:dyDescent="0.25">
      <c r="A7" t="s">
        <v>20</v>
      </c>
      <c r="B7" t="s">
        <v>21</v>
      </c>
      <c r="D7" s="1">
        <f>COUNTIF(B7,Feladványok!#REF!)</f>
        <v>0</v>
      </c>
      <c r="E7" s="1" t="str">
        <f t="shared" si="0"/>
        <v/>
      </c>
    </row>
    <row r="8" spans="1:5" x14ac:dyDescent="0.25">
      <c r="A8" t="s">
        <v>22</v>
      </c>
      <c r="B8" t="s">
        <v>23</v>
      </c>
      <c r="D8" s="1">
        <f>COUNTIF(B8,Feladványok!#REF!)</f>
        <v>0</v>
      </c>
      <c r="E8" s="1" t="str">
        <f t="shared" si="0"/>
        <v/>
      </c>
    </row>
    <row r="9" spans="1:5" x14ac:dyDescent="0.25">
      <c r="A9" t="s">
        <v>24</v>
      </c>
      <c r="B9" t="s">
        <v>25</v>
      </c>
      <c r="D9" s="1">
        <f>COUNTIF(B9,Feladványok!#REF!)</f>
        <v>0</v>
      </c>
      <c r="E9" s="1" t="str">
        <f t="shared" si="0"/>
        <v/>
      </c>
    </row>
    <row r="10" spans="1:5" x14ac:dyDescent="0.25">
      <c r="A10" t="s">
        <v>26</v>
      </c>
      <c r="B10" t="s">
        <v>27</v>
      </c>
      <c r="D10" s="1">
        <f>COUNTIF(B10,Feladványok!#REF!)</f>
        <v>0</v>
      </c>
      <c r="E10" s="1" t="str">
        <f t="shared" si="0"/>
        <v/>
      </c>
    </row>
    <row r="11" spans="1:5" x14ac:dyDescent="0.25">
      <c r="A11" t="s">
        <v>28</v>
      </c>
      <c r="B11" t="s">
        <v>29</v>
      </c>
      <c r="D11" s="1">
        <f>COUNTIF(B11,Feladványok!#REF!)</f>
        <v>0</v>
      </c>
      <c r="E11" s="1" t="str">
        <f t="shared" si="0"/>
        <v/>
      </c>
    </row>
    <row r="12" spans="1:5" x14ac:dyDescent="0.25">
      <c r="A12" t="s">
        <v>30</v>
      </c>
      <c r="B12" t="s">
        <v>31</v>
      </c>
      <c r="D12" s="1">
        <f>COUNTIF(B12,Feladványok!#REF!)</f>
        <v>0</v>
      </c>
      <c r="E12" s="1" t="str">
        <f t="shared" si="0"/>
        <v/>
      </c>
    </row>
    <row r="13" spans="1:5" x14ac:dyDescent="0.25">
      <c r="A13" t="s">
        <v>32</v>
      </c>
      <c r="B13" t="s">
        <v>33</v>
      </c>
      <c r="D13" s="1">
        <f>COUNTIF(B13,Feladványok!#REF!)</f>
        <v>0</v>
      </c>
      <c r="E13" s="1" t="str">
        <f t="shared" si="0"/>
        <v/>
      </c>
    </row>
    <row r="14" spans="1:5" x14ac:dyDescent="0.25">
      <c r="A14" t="s">
        <v>34</v>
      </c>
      <c r="B14" t="s">
        <v>35</v>
      </c>
      <c r="D14" s="1">
        <f>COUNTIF(B14,Feladványok!#REF!)</f>
        <v>0</v>
      </c>
      <c r="E14" s="1" t="str">
        <f t="shared" si="0"/>
        <v/>
      </c>
    </row>
    <row r="15" spans="1:5" x14ac:dyDescent="0.25">
      <c r="A15" t="s">
        <v>36</v>
      </c>
      <c r="B15" t="s">
        <v>37</v>
      </c>
      <c r="D15" s="1">
        <f>COUNTIF(B15,Feladványok!#REF!)</f>
        <v>0</v>
      </c>
      <c r="E15" s="1" t="str">
        <f t="shared" si="0"/>
        <v/>
      </c>
    </row>
    <row r="16" spans="1:5" x14ac:dyDescent="0.25">
      <c r="A16" t="s">
        <v>38</v>
      </c>
      <c r="B16" t="s">
        <v>39</v>
      </c>
      <c r="D16" s="1">
        <f>COUNTIF(B16,Feladványok!#REF!)</f>
        <v>0</v>
      </c>
      <c r="E16" s="1" t="str">
        <f t="shared" si="0"/>
        <v/>
      </c>
    </row>
    <row r="17" spans="1:5" x14ac:dyDescent="0.25">
      <c r="A17" t="s">
        <v>40</v>
      </c>
      <c r="B17" t="s">
        <v>41</v>
      </c>
      <c r="D17" s="1">
        <f>COUNTIF(B17,Feladványok!#REF!)</f>
        <v>0</v>
      </c>
      <c r="E17" s="1" t="str">
        <f t="shared" si="0"/>
        <v/>
      </c>
    </row>
    <row r="18" spans="1:5" x14ac:dyDescent="0.25">
      <c r="A18" t="s">
        <v>42</v>
      </c>
      <c r="B18" t="s">
        <v>43</v>
      </c>
      <c r="D18" s="1">
        <f>COUNTIF(B18,Feladványok!#REF!)</f>
        <v>0</v>
      </c>
      <c r="E18" s="1" t="str">
        <f t="shared" si="0"/>
        <v/>
      </c>
    </row>
    <row r="19" spans="1:5" x14ac:dyDescent="0.25">
      <c r="A19" t="s">
        <v>44</v>
      </c>
      <c r="B19" t="s">
        <v>45</v>
      </c>
      <c r="D19" s="1">
        <f>COUNTIF(B19,Feladványok!#REF!)</f>
        <v>0</v>
      </c>
      <c r="E19" s="1" t="str">
        <f t="shared" si="0"/>
        <v/>
      </c>
    </row>
    <row r="20" spans="1:5" x14ac:dyDescent="0.25">
      <c r="A20" t="s">
        <v>46</v>
      </c>
      <c r="B20" t="s">
        <v>47</v>
      </c>
      <c r="D20" s="1">
        <f>COUNTIF(B20,Feladványok!#REF!)</f>
        <v>0</v>
      </c>
      <c r="E20" s="1" t="str">
        <f t="shared" si="0"/>
        <v/>
      </c>
    </row>
    <row r="21" spans="1:5" x14ac:dyDescent="0.25">
      <c r="A21" t="s">
        <v>48</v>
      </c>
      <c r="B21" t="s">
        <v>49</v>
      </c>
      <c r="D21" s="1">
        <f>COUNTIF(B21,Feladványok!#REF!)</f>
        <v>0</v>
      </c>
      <c r="E21" s="1" t="str">
        <f t="shared" si="0"/>
        <v/>
      </c>
    </row>
    <row r="22" spans="1:5" x14ac:dyDescent="0.25">
      <c r="A22" t="s">
        <v>50</v>
      </c>
      <c r="B22" t="s">
        <v>51</v>
      </c>
      <c r="D22" s="1">
        <f>COUNTIF(B22,Feladványok!#REF!)</f>
        <v>0</v>
      </c>
      <c r="E22" s="1" t="str">
        <f t="shared" si="0"/>
        <v/>
      </c>
    </row>
    <row r="23" spans="1:5" x14ac:dyDescent="0.25">
      <c r="A23" t="s">
        <v>52</v>
      </c>
      <c r="B23" t="s">
        <v>53</v>
      </c>
      <c r="D23" s="1">
        <f>COUNTIF(B23,Feladványok!#REF!)</f>
        <v>0</v>
      </c>
      <c r="E23" s="1" t="str">
        <f t="shared" si="0"/>
        <v/>
      </c>
    </row>
    <row r="24" spans="1:5" x14ac:dyDescent="0.25">
      <c r="A24" t="s">
        <v>54</v>
      </c>
      <c r="B24" t="s">
        <v>55</v>
      </c>
      <c r="D24" s="1">
        <f>COUNTIF(B24,Feladványok!#REF!)</f>
        <v>0</v>
      </c>
      <c r="E24" s="1" t="str">
        <f t="shared" si="0"/>
        <v/>
      </c>
    </row>
    <row r="25" spans="1:5" x14ac:dyDescent="0.25">
      <c r="A25" t="s">
        <v>56</v>
      </c>
      <c r="B25" t="s">
        <v>57</v>
      </c>
      <c r="D25" s="1">
        <f>COUNTIF(B25,Feladványok!#REF!)</f>
        <v>0</v>
      </c>
      <c r="E25" s="1" t="str">
        <f t="shared" si="0"/>
        <v/>
      </c>
    </row>
    <row r="26" spans="1:5" x14ac:dyDescent="0.25">
      <c r="A26" t="s">
        <v>58</v>
      </c>
      <c r="B26" t="s">
        <v>59</v>
      </c>
      <c r="D26" s="1">
        <f>COUNTIF(B26,Feladványok!#REF!)</f>
        <v>0</v>
      </c>
      <c r="E26" s="1" t="str">
        <f t="shared" si="0"/>
        <v/>
      </c>
    </row>
    <row r="27" spans="1:5" x14ac:dyDescent="0.25">
      <c r="A27" t="s">
        <v>60</v>
      </c>
      <c r="B27" t="s">
        <v>61</v>
      </c>
      <c r="D27" s="1">
        <f>COUNTIF(B27,Feladványok!#REF!)</f>
        <v>0</v>
      </c>
      <c r="E27" s="1" t="str">
        <f t="shared" si="0"/>
        <v/>
      </c>
    </row>
    <row r="28" spans="1:5" x14ac:dyDescent="0.25">
      <c r="A28" t="s">
        <v>62</v>
      </c>
      <c r="B28" t="s">
        <v>63</v>
      </c>
      <c r="D28" s="1">
        <f>COUNTIF(B28,Feladványok!#REF!)</f>
        <v>0</v>
      </c>
      <c r="E28" s="1" t="str">
        <f t="shared" si="0"/>
        <v/>
      </c>
    </row>
    <row r="29" spans="1:5" x14ac:dyDescent="0.25">
      <c r="A29" t="s">
        <v>64</v>
      </c>
      <c r="B29" t="s">
        <v>65</v>
      </c>
      <c r="D29" s="1">
        <f>COUNTIF(B29,Feladványok!#REF!)</f>
        <v>0</v>
      </c>
      <c r="E29" s="1" t="str">
        <f t="shared" si="0"/>
        <v/>
      </c>
    </row>
    <row r="30" spans="1:5" x14ac:dyDescent="0.25">
      <c r="A30" t="s">
        <v>66</v>
      </c>
      <c r="B30" t="s">
        <v>67</v>
      </c>
      <c r="D30" s="1">
        <f>COUNTIF(B30,Feladványok!#REF!)</f>
        <v>0</v>
      </c>
      <c r="E30" s="1" t="str">
        <f t="shared" si="0"/>
        <v/>
      </c>
    </row>
    <row r="31" spans="1:5" x14ac:dyDescent="0.25">
      <c r="A31" t="s">
        <v>68</v>
      </c>
      <c r="B31" t="s">
        <v>69</v>
      </c>
      <c r="D31" s="1">
        <f>COUNTIF(B31,Feladványok!#REF!)</f>
        <v>0</v>
      </c>
      <c r="E31" s="1" t="str">
        <f t="shared" si="0"/>
        <v/>
      </c>
    </row>
    <row r="32" spans="1:5" x14ac:dyDescent="0.25">
      <c r="A32" t="s">
        <v>70</v>
      </c>
      <c r="B32" t="s">
        <v>71</v>
      </c>
      <c r="D32" s="1">
        <f>COUNTIF(B32,Feladványok!#REF!)</f>
        <v>0</v>
      </c>
      <c r="E32" s="1" t="str">
        <f t="shared" si="0"/>
        <v/>
      </c>
    </row>
    <row r="33" spans="1:5" x14ac:dyDescent="0.25">
      <c r="A33" t="s">
        <v>72</v>
      </c>
      <c r="B33" t="s">
        <v>73</v>
      </c>
      <c r="D33" s="1">
        <f>COUNTIF(B33,Feladványok!#REF!)</f>
        <v>0</v>
      </c>
      <c r="E33" s="1" t="str">
        <f t="shared" si="0"/>
        <v/>
      </c>
    </row>
    <row r="34" spans="1:5" x14ac:dyDescent="0.25">
      <c r="A34" t="s">
        <v>74</v>
      </c>
      <c r="B34" t="s">
        <v>7</v>
      </c>
      <c r="D34" s="1">
        <f>COUNTIF(B34,Feladványok!#REF!)</f>
        <v>0</v>
      </c>
      <c r="E34" s="1" t="str">
        <f t="shared" si="0"/>
        <v/>
      </c>
    </row>
    <row r="35" spans="1:5" x14ac:dyDescent="0.25">
      <c r="A35" t="s">
        <v>75</v>
      </c>
      <c r="B35" t="s">
        <v>76</v>
      </c>
      <c r="D35" s="1">
        <f>COUNTIF(B35,Feladványok!#REF!)</f>
        <v>0</v>
      </c>
      <c r="E35" s="1" t="str">
        <f t="shared" si="0"/>
        <v/>
      </c>
    </row>
    <row r="36" spans="1:5" x14ac:dyDescent="0.25">
      <c r="A36" t="s">
        <v>77</v>
      </c>
      <c r="B36" t="s">
        <v>78</v>
      </c>
      <c r="D36" s="1">
        <f>COUNTIF(B36,Feladványok!#REF!)</f>
        <v>0</v>
      </c>
      <c r="E36" s="1" t="str">
        <f t="shared" si="0"/>
        <v/>
      </c>
    </row>
    <row r="37" spans="1:5" x14ac:dyDescent="0.25">
      <c r="A37" t="s">
        <v>79</v>
      </c>
      <c r="B37" t="s">
        <v>80</v>
      </c>
      <c r="D37" s="1">
        <f>COUNTIF(B37,Feladványok!#REF!)</f>
        <v>0</v>
      </c>
      <c r="E37" s="1" t="str">
        <f t="shared" si="0"/>
        <v/>
      </c>
    </row>
    <row r="38" spans="1:5" x14ac:dyDescent="0.25">
      <c r="A38" t="s">
        <v>81</v>
      </c>
      <c r="B38" t="s">
        <v>82</v>
      </c>
      <c r="D38" s="1">
        <f>COUNTIF(B38,Feladványok!#REF!)</f>
        <v>0</v>
      </c>
      <c r="E38" s="1" t="str">
        <f t="shared" si="0"/>
        <v/>
      </c>
    </row>
    <row r="39" spans="1:5" x14ac:dyDescent="0.25">
      <c r="A39" t="s">
        <v>83</v>
      </c>
      <c r="B39" t="s">
        <v>84</v>
      </c>
      <c r="D39" s="1">
        <f>COUNTIF(B39,Feladványok!#REF!)</f>
        <v>0</v>
      </c>
      <c r="E39" s="1" t="str">
        <f t="shared" si="0"/>
        <v/>
      </c>
    </row>
    <row r="40" spans="1:5" x14ac:dyDescent="0.25">
      <c r="A40" t="s">
        <v>85</v>
      </c>
      <c r="B40" t="s">
        <v>86</v>
      </c>
      <c r="D40" s="1">
        <f>COUNTIF(B40,Feladványok!#REF!)</f>
        <v>0</v>
      </c>
      <c r="E40" s="1" t="str">
        <f t="shared" si="0"/>
        <v/>
      </c>
    </row>
    <row r="41" spans="1:5" x14ac:dyDescent="0.25">
      <c r="A41" t="s">
        <v>87</v>
      </c>
      <c r="B41" t="s">
        <v>88</v>
      </c>
      <c r="D41" s="1">
        <f>COUNTIF(B41,Feladványok!#REF!)</f>
        <v>0</v>
      </c>
      <c r="E41" s="1" t="str">
        <f t="shared" si="0"/>
        <v/>
      </c>
    </row>
    <row r="42" spans="1:5" x14ac:dyDescent="0.25">
      <c r="A42" t="s">
        <v>89</v>
      </c>
      <c r="B42" t="s">
        <v>90</v>
      </c>
      <c r="D42" s="1">
        <f>COUNTIF(B42,Feladványok!#REF!)</f>
        <v>0</v>
      </c>
      <c r="E42" s="1" t="str">
        <f t="shared" si="0"/>
        <v/>
      </c>
    </row>
    <row r="43" spans="1:5" x14ac:dyDescent="0.25">
      <c r="A43" t="s">
        <v>91</v>
      </c>
      <c r="B43" t="s">
        <v>92</v>
      </c>
      <c r="D43" s="1">
        <f>COUNTIF(B43,Feladványok!#REF!)</f>
        <v>0</v>
      </c>
      <c r="E43" s="1" t="str">
        <f t="shared" si="0"/>
        <v/>
      </c>
    </row>
    <row r="44" spans="1:5" x14ac:dyDescent="0.25">
      <c r="A44" t="s">
        <v>93</v>
      </c>
      <c r="B44" t="s">
        <v>94</v>
      </c>
      <c r="D44" s="1">
        <f>COUNTIF(B44,Feladványok!#REF!)</f>
        <v>0</v>
      </c>
      <c r="E44" s="1" t="str">
        <f t="shared" si="0"/>
        <v/>
      </c>
    </row>
    <row r="45" spans="1:5" x14ac:dyDescent="0.25">
      <c r="A45" t="s">
        <v>95</v>
      </c>
      <c r="B45" t="s">
        <v>96</v>
      </c>
      <c r="D45" s="1">
        <f>COUNTIF(B45,Feladványok!#REF!)</f>
        <v>0</v>
      </c>
      <c r="E45" s="1" t="str">
        <f t="shared" si="0"/>
        <v/>
      </c>
    </row>
    <row r="46" spans="1:5" x14ac:dyDescent="0.25">
      <c r="A46" t="s">
        <v>97</v>
      </c>
      <c r="B46" t="s">
        <v>98</v>
      </c>
      <c r="D46" s="1">
        <f>COUNTIF(B46,Feladványok!#REF!)</f>
        <v>0</v>
      </c>
      <c r="E46" s="1" t="str">
        <f t="shared" si="0"/>
        <v/>
      </c>
    </row>
    <row r="47" spans="1:5" x14ac:dyDescent="0.25">
      <c r="A47" t="s">
        <v>99</v>
      </c>
      <c r="B47" t="s">
        <v>100</v>
      </c>
      <c r="D47" s="1">
        <f>COUNTIF(B47,Feladványok!#REF!)</f>
        <v>0</v>
      </c>
      <c r="E47" s="1" t="str">
        <f t="shared" si="0"/>
        <v/>
      </c>
    </row>
    <row r="48" spans="1:5" x14ac:dyDescent="0.25">
      <c r="A48" t="s">
        <v>101</v>
      </c>
      <c r="B48" t="s">
        <v>102</v>
      </c>
      <c r="D48" s="1">
        <f>COUNTIF(B48,Feladványok!#REF!)</f>
        <v>0</v>
      </c>
      <c r="E48" s="1" t="str">
        <f t="shared" si="0"/>
        <v/>
      </c>
    </row>
    <row r="49" spans="1:5" x14ac:dyDescent="0.25">
      <c r="A49" t="s">
        <v>103</v>
      </c>
      <c r="B49" t="s">
        <v>104</v>
      </c>
      <c r="D49" s="1">
        <f>COUNTIF(B49,Feladványok!#REF!)</f>
        <v>0</v>
      </c>
      <c r="E49" s="1" t="str">
        <f t="shared" si="0"/>
        <v/>
      </c>
    </row>
    <row r="50" spans="1:5" x14ac:dyDescent="0.25">
      <c r="A50" t="s">
        <v>105</v>
      </c>
      <c r="B50" t="s">
        <v>106</v>
      </c>
      <c r="D50" s="1">
        <f>COUNTIF(B50,Feladványok!#REF!)</f>
        <v>0</v>
      </c>
      <c r="E50" s="1" t="str">
        <f t="shared" si="0"/>
        <v/>
      </c>
    </row>
    <row r="51" spans="1:5" x14ac:dyDescent="0.25">
      <c r="A51" t="s">
        <v>107</v>
      </c>
      <c r="B51" t="s">
        <v>108</v>
      </c>
      <c r="D51" s="1">
        <f>COUNTIF(B51,Feladványok!#REF!)</f>
        <v>0</v>
      </c>
      <c r="E51" s="1" t="str">
        <f t="shared" si="0"/>
        <v/>
      </c>
    </row>
    <row r="52" spans="1:5" x14ac:dyDescent="0.25">
      <c r="A52" t="s">
        <v>109</v>
      </c>
      <c r="B52" t="s">
        <v>110</v>
      </c>
      <c r="D52" s="1">
        <f>COUNTIF(B52,Feladványok!#REF!)</f>
        <v>0</v>
      </c>
      <c r="E52" s="1" t="str">
        <f t="shared" si="0"/>
        <v/>
      </c>
    </row>
    <row r="53" spans="1:5" x14ac:dyDescent="0.25">
      <c r="A53" t="s">
        <v>111</v>
      </c>
      <c r="B53" t="s">
        <v>112</v>
      </c>
      <c r="D53" s="1">
        <f>COUNTIF(B53,Feladványok!#REF!)</f>
        <v>0</v>
      </c>
      <c r="E53" s="1" t="str">
        <f t="shared" si="0"/>
        <v/>
      </c>
    </row>
    <row r="54" spans="1:5" x14ac:dyDescent="0.25">
      <c r="A54" t="s">
        <v>113</v>
      </c>
      <c r="B54" t="s">
        <v>114</v>
      </c>
      <c r="D54" s="1">
        <f>COUNTIF(B54,Feladványok!#REF!)</f>
        <v>0</v>
      </c>
      <c r="E54" s="1" t="str">
        <f t="shared" si="0"/>
        <v/>
      </c>
    </row>
    <row r="55" spans="1:5" x14ac:dyDescent="0.25">
      <c r="A55" t="s">
        <v>115</v>
      </c>
      <c r="B55" t="s">
        <v>116</v>
      </c>
      <c r="D55" s="1">
        <f>COUNTIF(B55,Feladványok!#REF!)</f>
        <v>0</v>
      </c>
      <c r="E55" s="1" t="str">
        <f t="shared" si="0"/>
        <v/>
      </c>
    </row>
    <row r="56" spans="1:5" x14ac:dyDescent="0.25">
      <c r="A56" t="s">
        <v>117</v>
      </c>
      <c r="B56" t="s">
        <v>118</v>
      </c>
      <c r="D56" s="1">
        <f>COUNTIF(B56,Feladványok!#REF!)</f>
        <v>0</v>
      </c>
      <c r="E56" s="1" t="str">
        <f t="shared" si="0"/>
        <v/>
      </c>
    </row>
    <row r="57" spans="1:5" x14ac:dyDescent="0.25">
      <c r="A57" t="s">
        <v>119</v>
      </c>
      <c r="B57" t="s">
        <v>120</v>
      </c>
      <c r="D57" s="1">
        <f>COUNTIF(B57,Feladványok!#REF!)</f>
        <v>0</v>
      </c>
      <c r="E57" s="1" t="str">
        <f t="shared" si="0"/>
        <v/>
      </c>
    </row>
    <row r="58" spans="1:5" x14ac:dyDescent="0.25">
      <c r="A58" t="s">
        <v>121</v>
      </c>
      <c r="B58" t="s">
        <v>122</v>
      </c>
      <c r="D58" s="1">
        <f>COUNTIF(B58,Feladványok!#REF!)</f>
        <v>0</v>
      </c>
      <c r="E58" s="1" t="str">
        <f t="shared" si="0"/>
        <v/>
      </c>
    </row>
    <row r="59" spans="1:5" x14ac:dyDescent="0.25">
      <c r="A59" t="s">
        <v>123</v>
      </c>
      <c r="B59" t="s">
        <v>124</v>
      </c>
      <c r="D59" s="1">
        <f>COUNTIF(B59,Feladványok!#REF!)</f>
        <v>0</v>
      </c>
      <c r="E59" s="1" t="str">
        <f t="shared" si="0"/>
        <v/>
      </c>
    </row>
    <row r="60" spans="1:5" x14ac:dyDescent="0.25">
      <c r="A60" t="s">
        <v>712</v>
      </c>
      <c r="B60" t="s">
        <v>720</v>
      </c>
      <c r="D60" s="1">
        <f>COUNTIF(B60,Feladványok!#REF!)</f>
        <v>0</v>
      </c>
      <c r="E60" s="1" t="str">
        <f t="shared" si="0"/>
        <v/>
      </c>
    </row>
    <row r="61" spans="1:5" x14ac:dyDescent="0.25">
      <c r="A61" t="s">
        <v>713</v>
      </c>
      <c r="B61" t="s">
        <v>715</v>
      </c>
      <c r="D61" s="1">
        <f>COUNTIF(B61,Feladványok!#REF!)</f>
        <v>0</v>
      </c>
      <c r="E61" s="1" t="str">
        <f t="shared" si="0"/>
        <v/>
      </c>
    </row>
    <row r="62" spans="1:5" x14ac:dyDescent="0.25">
      <c r="A62" t="s">
        <v>714</v>
      </c>
      <c r="B62" t="s">
        <v>715</v>
      </c>
      <c r="D62" s="1">
        <f>COUNTIF(B62,Feladványok!#REF!)</f>
        <v>0</v>
      </c>
      <c r="E62" s="1" t="str">
        <f t="shared" si="0"/>
        <v/>
      </c>
    </row>
    <row r="63" spans="1:5" x14ac:dyDescent="0.25">
      <c r="A63" t="s">
        <v>125</v>
      </c>
      <c r="B63" t="s">
        <v>126</v>
      </c>
      <c r="D63" s="1">
        <f>COUNTIF(B63,Feladványok!#REF!)</f>
        <v>0</v>
      </c>
      <c r="E63" s="1" t="str">
        <f t="shared" si="0"/>
        <v/>
      </c>
    </row>
    <row r="64" spans="1:5" x14ac:dyDescent="0.25">
      <c r="A64" t="s">
        <v>127</v>
      </c>
      <c r="B64" t="s">
        <v>128</v>
      </c>
      <c r="D64" s="1">
        <f>COUNTIF(B64,Feladványok!#REF!)</f>
        <v>0</v>
      </c>
      <c r="E64" s="1" t="str">
        <f t="shared" si="0"/>
        <v/>
      </c>
    </row>
    <row r="65" spans="1:5" x14ac:dyDescent="0.25">
      <c r="A65" t="s">
        <v>129</v>
      </c>
      <c r="B65" t="s">
        <v>130</v>
      </c>
      <c r="D65" s="1">
        <f>COUNTIF(B65,Feladványok!#REF!)</f>
        <v>0</v>
      </c>
      <c r="E65" s="1" t="str">
        <f t="shared" si="0"/>
        <v/>
      </c>
    </row>
    <row r="66" spans="1:5" x14ac:dyDescent="0.25">
      <c r="A66" t="s">
        <v>131</v>
      </c>
      <c r="B66" t="s">
        <v>132</v>
      </c>
      <c r="D66" s="1">
        <f>COUNTIF(B66,Feladványok!#REF!)</f>
        <v>0</v>
      </c>
      <c r="E66" s="1" t="str">
        <f t="shared" ref="E66:E129" si="1">IF(D66&gt;0,A66,"")</f>
        <v/>
      </c>
    </row>
    <row r="67" spans="1:5" x14ac:dyDescent="0.25">
      <c r="A67" t="s">
        <v>133</v>
      </c>
      <c r="B67" t="s">
        <v>134</v>
      </c>
      <c r="D67" s="1">
        <f>COUNTIF(B67,Feladványok!#REF!)</f>
        <v>0</v>
      </c>
      <c r="E67" s="1" t="str">
        <f t="shared" si="1"/>
        <v/>
      </c>
    </row>
    <row r="68" spans="1:5" x14ac:dyDescent="0.25">
      <c r="A68" t="s">
        <v>135</v>
      </c>
      <c r="B68" t="s">
        <v>136</v>
      </c>
      <c r="D68" s="1">
        <f>COUNTIF(B68,Feladványok!#REF!)</f>
        <v>0</v>
      </c>
      <c r="E68" s="1" t="str">
        <f t="shared" si="1"/>
        <v/>
      </c>
    </row>
    <row r="69" spans="1:5" x14ac:dyDescent="0.25">
      <c r="A69" t="s">
        <v>137</v>
      </c>
      <c r="B69" t="s">
        <v>138</v>
      </c>
      <c r="D69" s="1">
        <f>COUNTIF(B69,Feladványok!#REF!)</f>
        <v>0</v>
      </c>
      <c r="E69" s="1" t="str">
        <f t="shared" si="1"/>
        <v/>
      </c>
    </row>
    <row r="70" spans="1:5" x14ac:dyDescent="0.25">
      <c r="A70" t="s">
        <v>139</v>
      </c>
      <c r="B70" t="s">
        <v>140</v>
      </c>
      <c r="D70" s="1">
        <f>COUNTIF(B70,Feladványok!#REF!)</f>
        <v>0</v>
      </c>
      <c r="E70" s="1" t="str">
        <f t="shared" si="1"/>
        <v/>
      </c>
    </row>
    <row r="71" spans="1:5" x14ac:dyDescent="0.25">
      <c r="A71" t="s">
        <v>141</v>
      </c>
      <c r="B71" t="s">
        <v>142</v>
      </c>
      <c r="D71" s="1">
        <f>COUNTIF(B71,Feladványok!#REF!)</f>
        <v>0</v>
      </c>
      <c r="E71" s="1" t="str">
        <f t="shared" si="1"/>
        <v/>
      </c>
    </row>
    <row r="72" spans="1:5" x14ac:dyDescent="0.25">
      <c r="A72" t="s">
        <v>143</v>
      </c>
      <c r="B72" t="s">
        <v>144</v>
      </c>
      <c r="D72" s="1">
        <f>COUNTIF(B72,Feladványok!#REF!)</f>
        <v>0</v>
      </c>
      <c r="E72" s="1" t="str">
        <f t="shared" si="1"/>
        <v/>
      </c>
    </row>
    <row r="73" spans="1:5" x14ac:dyDescent="0.25">
      <c r="A73" t="s">
        <v>145</v>
      </c>
      <c r="B73" t="s">
        <v>146</v>
      </c>
      <c r="D73" s="1">
        <f>COUNTIF(B73,Feladványok!#REF!)</f>
        <v>0</v>
      </c>
      <c r="E73" s="1" t="str">
        <f t="shared" si="1"/>
        <v/>
      </c>
    </row>
    <row r="74" spans="1:5" x14ac:dyDescent="0.25">
      <c r="A74" t="s">
        <v>147</v>
      </c>
      <c r="B74" t="s">
        <v>148</v>
      </c>
      <c r="D74" s="1">
        <f>COUNTIF(B74,Feladványok!#REF!)</f>
        <v>0</v>
      </c>
      <c r="E74" s="1" t="str">
        <f t="shared" si="1"/>
        <v/>
      </c>
    </row>
    <row r="75" spans="1:5" x14ac:dyDescent="0.25">
      <c r="A75" t="s">
        <v>149</v>
      </c>
      <c r="B75" t="s">
        <v>150</v>
      </c>
      <c r="D75" s="1">
        <f>COUNTIF(B75,Feladványok!#REF!)</f>
        <v>0</v>
      </c>
      <c r="E75" s="1" t="str">
        <f t="shared" si="1"/>
        <v/>
      </c>
    </row>
    <row r="76" spans="1:5" x14ac:dyDescent="0.25">
      <c r="A76" t="s">
        <v>151</v>
      </c>
      <c r="B76" t="s">
        <v>152</v>
      </c>
      <c r="D76" s="1">
        <f>COUNTIF(B76,Feladványok!#REF!)</f>
        <v>0</v>
      </c>
      <c r="E76" s="1" t="str">
        <f t="shared" si="1"/>
        <v/>
      </c>
    </row>
    <row r="77" spans="1:5" x14ac:dyDescent="0.25">
      <c r="A77" t="s">
        <v>153</v>
      </c>
      <c r="B77" t="s">
        <v>154</v>
      </c>
      <c r="D77" s="1">
        <f>COUNTIF(B77,Feladványok!#REF!)</f>
        <v>0</v>
      </c>
      <c r="E77" s="1" t="str">
        <f t="shared" si="1"/>
        <v/>
      </c>
    </row>
    <row r="78" spans="1:5" x14ac:dyDescent="0.25">
      <c r="A78" t="s">
        <v>155</v>
      </c>
      <c r="B78" t="s">
        <v>156</v>
      </c>
      <c r="D78" s="1">
        <f>COUNTIF(B78,Feladványok!#REF!)</f>
        <v>0</v>
      </c>
      <c r="E78" s="1" t="str">
        <f t="shared" si="1"/>
        <v/>
      </c>
    </row>
    <row r="79" spans="1:5" x14ac:dyDescent="0.25">
      <c r="A79" t="s">
        <v>157</v>
      </c>
      <c r="B79" t="s">
        <v>158</v>
      </c>
      <c r="D79" s="1">
        <f>COUNTIF(B79,Feladványok!#REF!)</f>
        <v>0</v>
      </c>
      <c r="E79" s="1" t="str">
        <f t="shared" si="1"/>
        <v/>
      </c>
    </row>
    <row r="80" spans="1:5" x14ac:dyDescent="0.25">
      <c r="A80" t="s">
        <v>159</v>
      </c>
      <c r="B80" t="s">
        <v>160</v>
      </c>
      <c r="D80" s="1">
        <f>COUNTIF(B80,Feladványok!#REF!)</f>
        <v>0</v>
      </c>
      <c r="E80" s="1" t="str">
        <f t="shared" si="1"/>
        <v/>
      </c>
    </row>
    <row r="81" spans="1:5" x14ac:dyDescent="0.25">
      <c r="A81" t="s">
        <v>161</v>
      </c>
      <c r="B81" t="s">
        <v>162</v>
      </c>
      <c r="D81" s="1">
        <f>COUNTIF(B81,Feladványok!#REF!)</f>
        <v>0</v>
      </c>
      <c r="E81" s="1" t="str">
        <f t="shared" si="1"/>
        <v/>
      </c>
    </row>
    <row r="82" spans="1:5" x14ac:dyDescent="0.25">
      <c r="A82" t="s">
        <v>163</v>
      </c>
      <c r="B82" t="s">
        <v>164</v>
      </c>
      <c r="D82" s="1">
        <f>COUNTIF(B82,Feladványok!#REF!)</f>
        <v>0</v>
      </c>
      <c r="E82" s="1" t="str">
        <f t="shared" si="1"/>
        <v/>
      </c>
    </row>
    <row r="83" spans="1:5" x14ac:dyDescent="0.25">
      <c r="A83" t="s">
        <v>165</v>
      </c>
      <c r="B83" t="s">
        <v>166</v>
      </c>
      <c r="D83" s="1">
        <f>COUNTIF(B83,Feladványok!#REF!)</f>
        <v>0</v>
      </c>
      <c r="E83" s="1" t="str">
        <f t="shared" si="1"/>
        <v/>
      </c>
    </row>
    <row r="84" spans="1:5" x14ac:dyDescent="0.25">
      <c r="A84" t="s">
        <v>167</v>
      </c>
      <c r="B84" t="s">
        <v>168</v>
      </c>
      <c r="D84" s="1">
        <f>COUNTIF(B84,Feladványok!#REF!)</f>
        <v>0</v>
      </c>
      <c r="E84" s="1" t="str">
        <f t="shared" si="1"/>
        <v/>
      </c>
    </row>
    <row r="85" spans="1:5" x14ac:dyDescent="0.25">
      <c r="A85" t="s">
        <v>169</v>
      </c>
      <c r="B85" t="s">
        <v>170</v>
      </c>
      <c r="D85" s="1">
        <f>COUNTIF(B85,Feladványok!#REF!)</f>
        <v>0</v>
      </c>
      <c r="E85" s="1" t="str">
        <f t="shared" si="1"/>
        <v/>
      </c>
    </row>
    <row r="86" spans="1:5" x14ac:dyDescent="0.25">
      <c r="A86" t="s">
        <v>171</v>
      </c>
      <c r="B86" t="s">
        <v>172</v>
      </c>
      <c r="D86" s="1">
        <f>COUNTIF(B86,Feladványok!#REF!)</f>
        <v>0</v>
      </c>
      <c r="E86" s="1" t="str">
        <f t="shared" si="1"/>
        <v/>
      </c>
    </row>
    <row r="87" spans="1:5" x14ac:dyDescent="0.25">
      <c r="A87" t="s">
        <v>173</v>
      </c>
      <c r="B87" t="s">
        <v>174</v>
      </c>
      <c r="D87" s="1">
        <f>COUNTIF(B87,Feladványok!#REF!)</f>
        <v>0</v>
      </c>
      <c r="E87" s="1" t="str">
        <f t="shared" si="1"/>
        <v/>
      </c>
    </row>
    <row r="88" spans="1:5" x14ac:dyDescent="0.25">
      <c r="A88" t="s">
        <v>175</v>
      </c>
      <c r="B88" t="s">
        <v>176</v>
      </c>
      <c r="D88" s="1">
        <f>COUNTIF(B88,Feladványok!#REF!)</f>
        <v>0</v>
      </c>
      <c r="E88" s="1" t="str">
        <f t="shared" si="1"/>
        <v/>
      </c>
    </row>
    <row r="89" spans="1:5" x14ac:dyDescent="0.25">
      <c r="A89" t="s">
        <v>177</v>
      </c>
      <c r="B89" t="s">
        <v>178</v>
      </c>
      <c r="D89" s="1">
        <f>COUNTIF(B89,Feladványok!#REF!)</f>
        <v>0</v>
      </c>
      <c r="E89" s="1" t="str">
        <f t="shared" si="1"/>
        <v/>
      </c>
    </row>
    <row r="90" spans="1:5" x14ac:dyDescent="0.25">
      <c r="A90" t="s">
        <v>179</v>
      </c>
      <c r="B90" t="s">
        <v>180</v>
      </c>
      <c r="D90" s="1">
        <f>COUNTIF(B90,Feladványok!#REF!)</f>
        <v>0</v>
      </c>
      <c r="E90" s="1" t="str">
        <f t="shared" si="1"/>
        <v/>
      </c>
    </row>
    <row r="91" spans="1:5" x14ac:dyDescent="0.25">
      <c r="A91" t="s">
        <v>181</v>
      </c>
      <c r="B91" t="s">
        <v>182</v>
      </c>
      <c r="D91" s="1">
        <f>COUNTIF(B91,Feladványok!#REF!)</f>
        <v>0</v>
      </c>
      <c r="E91" s="1" t="str">
        <f t="shared" si="1"/>
        <v/>
      </c>
    </row>
    <row r="92" spans="1:5" x14ac:dyDescent="0.25">
      <c r="A92" t="s">
        <v>183</v>
      </c>
      <c r="B92" t="s">
        <v>184</v>
      </c>
      <c r="D92" s="1">
        <f>COUNTIF(B92,Feladványok!#REF!)</f>
        <v>0</v>
      </c>
      <c r="E92" s="1" t="str">
        <f t="shared" si="1"/>
        <v/>
      </c>
    </row>
    <row r="93" spans="1:5" x14ac:dyDescent="0.25">
      <c r="A93" t="s">
        <v>185</v>
      </c>
      <c r="B93" t="s">
        <v>186</v>
      </c>
      <c r="D93" s="1">
        <f>COUNTIF(B93,Feladványok!#REF!)</f>
        <v>0</v>
      </c>
      <c r="E93" s="1" t="str">
        <f t="shared" si="1"/>
        <v/>
      </c>
    </row>
    <row r="94" spans="1:5" x14ac:dyDescent="0.25">
      <c r="A94" t="s">
        <v>187</v>
      </c>
      <c r="B94" t="s">
        <v>188</v>
      </c>
      <c r="D94" s="1">
        <f>COUNTIF(B94,Feladványok!#REF!)</f>
        <v>0</v>
      </c>
      <c r="E94" s="1" t="str">
        <f t="shared" si="1"/>
        <v/>
      </c>
    </row>
    <row r="95" spans="1:5" x14ac:dyDescent="0.25">
      <c r="A95" t="s">
        <v>189</v>
      </c>
      <c r="B95" t="s">
        <v>190</v>
      </c>
      <c r="D95" s="1">
        <f>COUNTIF(B95,Feladványok!#REF!)</f>
        <v>0</v>
      </c>
      <c r="E95" s="1" t="str">
        <f t="shared" si="1"/>
        <v/>
      </c>
    </row>
    <row r="96" spans="1:5" x14ac:dyDescent="0.25">
      <c r="A96" t="s">
        <v>191</v>
      </c>
      <c r="B96" t="s">
        <v>192</v>
      </c>
      <c r="D96" s="1">
        <f>COUNTIF(B96,Feladványok!#REF!)</f>
        <v>0</v>
      </c>
      <c r="E96" s="1" t="str">
        <f t="shared" si="1"/>
        <v/>
      </c>
    </row>
    <row r="97" spans="1:5" x14ac:dyDescent="0.25">
      <c r="A97" t="s">
        <v>193</v>
      </c>
      <c r="B97" t="s">
        <v>194</v>
      </c>
      <c r="D97" s="1">
        <f>COUNTIF(B97,Feladványok!#REF!)</f>
        <v>0</v>
      </c>
      <c r="E97" s="1" t="str">
        <f t="shared" si="1"/>
        <v/>
      </c>
    </row>
    <row r="98" spans="1:5" x14ac:dyDescent="0.25">
      <c r="A98" t="s">
        <v>195</v>
      </c>
      <c r="B98" t="s">
        <v>196</v>
      </c>
      <c r="D98" s="1">
        <f>COUNTIF(B98,Feladványok!#REF!)</f>
        <v>0</v>
      </c>
      <c r="E98" s="1" t="str">
        <f t="shared" si="1"/>
        <v/>
      </c>
    </row>
    <row r="99" spans="1:5" x14ac:dyDescent="0.25">
      <c r="A99" t="s">
        <v>197</v>
      </c>
      <c r="B99" t="s">
        <v>198</v>
      </c>
      <c r="D99" s="1">
        <f>COUNTIF(B99,Feladványok!#REF!)</f>
        <v>0</v>
      </c>
      <c r="E99" s="1" t="str">
        <f t="shared" si="1"/>
        <v/>
      </c>
    </row>
    <row r="100" spans="1:5" x14ac:dyDescent="0.25">
      <c r="A100" t="s">
        <v>199</v>
      </c>
      <c r="B100" t="s">
        <v>200</v>
      </c>
      <c r="D100" s="1">
        <f>COUNTIF(B100,Feladványok!#REF!)</f>
        <v>0</v>
      </c>
      <c r="E100" s="1" t="str">
        <f t="shared" si="1"/>
        <v/>
      </c>
    </row>
    <row r="101" spans="1:5" x14ac:dyDescent="0.25">
      <c r="A101" t="s">
        <v>201</v>
      </c>
      <c r="B101" t="s">
        <v>202</v>
      </c>
      <c r="D101" s="1">
        <f>COUNTIF(B101,Feladványok!#REF!)</f>
        <v>0</v>
      </c>
      <c r="E101" s="1" t="str">
        <f t="shared" si="1"/>
        <v/>
      </c>
    </row>
    <row r="102" spans="1:5" x14ac:dyDescent="0.25">
      <c r="A102" t="s">
        <v>203</v>
      </c>
      <c r="B102" t="s">
        <v>204</v>
      </c>
      <c r="D102" s="1">
        <f>COUNTIF(B102,Feladványok!#REF!)</f>
        <v>0</v>
      </c>
      <c r="E102" s="1" t="str">
        <f t="shared" si="1"/>
        <v/>
      </c>
    </row>
    <row r="103" spans="1:5" x14ac:dyDescent="0.25">
      <c r="A103" t="s">
        <v>205</v>
      </c>
      <c r="B103" t="s">
        <v>206</v>
      </c>
      <c r="D103" s="1">
        <f>COUNTIF(B103,Feladványok!#REF!)</f>
        <v>0</v>
      </c>
      <c r="E103" s="1" t="str">
        <f t="shared" si="1"/>
        <v/>
      </c>
    </row>
    <row r="104" spans="1:5" x14ac:dyDescent="0.25">
      <c r="A104" t="s">
        <v>207</v>
      </c>
      <c r="B104" t="s">
        <v>208</v>
      </c>
      <c r="D104" s="1">
        <f>COUNTIF(B104,Feladványok!#REF!)</f>
        <v>0</v>
      </c>
      <c r="E104" s="1" t="str">
        <f t="shared" si="1"/>
        <v/>
      </c>
    </row>
    <row r="105" spans="1:5" x14ac:dyDescent="0.25">
      <c r="A105" t="s">
        <v>209</v>
      </c>
      <c r="B105" t="s">
        <v>210</v>
      </c>
      <c r="D105" s="1">
        <f>COUNTIF(B105,Feladványok!#REF!)</f>
        <v>0</v>
      </c>
      <c r="E105" s="1" t="str">
        <f t="shared" si="1"/>
        <v/>
      </c>
    </row>
    <row r="106" spans="1:5" x14ac:dyDescent="0.25">
      <c r="A106" t="s">
        <v>211</v>
      </c>
      <c r="B106" t="s">
        <v>212</v>
      </c>
      <c r="D106" s="1">
        <f>COUNTIF(B106,Feladványok!#REF!)</f>
        <v>0</v>
      </c>
      <c r="E106" s="1" t="str">
        <f t="shared" si="1"/>
        <v/>
      </c>
    </row>
    <row r="107" spans="1:5" x14ac:dyDescent="0.25">
      <c r="A107" t="s">
        <v>213</v>
      </c>
      <c r="B107" t="s">
        <v>214</v>
      </c>
      <c r="D107" s="1">
        <f>COUNTIF(B107,Feladványok!#REF!)</f>
        <v>0</v>
      </c>
      <c r="E107" s="1" t="str">
        <f t="shared" si="1"/>
        <v/>
      </c>
    </row>
    <row r="108" spans="1:5" x14ac:dyDescent="0.25">
      <c r="A108" t="s">
        <v>215</v>
      </c>
      <c r="B108" t="s">
        <v>216</v>
      </c>
      <c r="D108" s="1">
        <f>COUNTIF(B108,Feladványok!#REF!)</f>
        <v>0</v>
      </c>
      <c r="E108" s="1" t="str">
        <f t="shared" si="1"/>
        <v/>
      </c>
    </row>
    <row r="109" spans="1:5" x14ac:dyDescent="0.25">
      <c r="A109" t="s">
        <v>217</v>
      </c>
      <c r="B109" t="s">
        <v>218</v>
      </c>
      <c r="D109" s="1">
        <f>COUNTIF(B109,Feladványok!#REF!)</f>
        <v>0</v>
      </c>
      <c r="E109" s="1" t="str">
        <f t="shared" si="1"/>
        <v/>
      </c>
    </row>
    <row r="110" spans="1:5" x14ac:dyDescent="0.25">
      <c r="A110" t="s">
        <v>219</v>
      </c>
      <c r="B110" t="s">
        <v>220</v>
      </c>
      <c r="D110" s="1">
        <f>COUNTIF(B110,Feladványok!#REF!)</f>
        <v>0</v>
      </c>
      <c r="E110" s="1" t="str">
        <f t="shared" si="1"/>
        <v/>
      </c>
    </row>
    <row r="111" spans="1:5" x14ac:dyDescent="0.25">
      <c r="A111" t="s">
        <v>221</v>
      </c>
      <c r="B111" t="s">
        <v>222</v>
      </c>
      <c r="D111" s="1">
        <f>COUNTIF(B111,Feladványok!#REF!)</f>
        <v>0</v>
      </c>
      <c r="E111" s="1" t="str">
        <f t="shared" si="1"/>
        <v/>
      </c>
    </row>
    <row r="112" spans="1:5" x14ac:dyDescent="0.25">
      <c r="A112" t="s">
        <v>223</v>
      </c>
      <c r="B112" t="s">
        <v>224</v>
      </c>
      <c r="D112" s="1">
        <f>COUNTIF(B112,Feladványok!#REF!)</f>
        <v>0</v>
      </c>
      <c r="E112" s="1" t="str">
        <f t="shared" si="1"/>
        <v/>
      </c>
    </row>
    <row r="113" spans="1:5" x14ac:dyDescent="0.25">
      <c r="A113" t="s">
        <v>225</v>
      </c>
      <c r="B113" t="s">
        <v>226</v>
      </c>
      <c r="D113" s="1">
        <f>COUNTIF(B113,Feladványok!#REF!)</f>
        <v>0</v>
      </c>
      <c r="E113" s="1" t="str">
        <f t="shared" si="1"/>
        <v/>
      </c>
    </row>
    <row r="114" spans="1:5" x14ac:dyDescent="0.25">
      <c r="A114" t="s">
        <v>227</v>
      </c>
      <c r="B114" t="s">
        <v>228</v>
      </c>
      <c r="D114" s="1">
        <f>COUNTIF(B114,Feladványok!#REF!)</f>
        <v>0</v>
      </c>
      <c r="E114" s="1" t="str">
        <f t="shared" si="1"/>
        <v/>
      </c>
    </row>
    <row r="115" spans="1:5" x14ac:dyDescent="0.25">
      <c r="A115" t="s">
        <v>229</v>
      </c>
      <c r="B115" t="s">
        <v>230</v>
      </c>
      <c r="D115" s="1">
        <f>COUNTIF(B115,Feladványok!#REF!)</f>
        <v>0</v>
      </c>
      <c r="E115" s="1" t="str">
        <f t="shared" si="1"/>
        <v/>
      </c>
    </row>
    <row r="116" spans="1:5" x14ac:dyDescent="0.25">
      <c r="A116" t="s">
        <v>231</v>
      </c>
      <c r="B116" t="s">
        <v>4</v>
      </c>
      <c r="D116" s="1">
        <f>COUNTIF(B116,Feladványok!#REF!)</f>
        <v>0</v>
      </c>
      <c r="E116" s="1" t="str">
        <f t="shared" si="1"/>
        <v/>
      </c>
    </row>
    <row r="117" spans="1:5" x14ac:dyDescent="0.25">
      <c r="A117" t="s">
        <v>232</v>
      </c>
      <c r="B117" t="s">
        <v>233</v>
      </c>
      <c r="D117" s="1">
        <f>COUNTIF(B117,Feladványok!#REF!)</f>
        <v>0</v>
      </c>
      <c r="E117" s="1" t="str">
        <f t="shared" si="1"/>
        <v/>
      </c>
    </row>
    <row r="118" spans="1:5" x14ac:dyDescent="0.25">
      <c r="A118" t="s">
        <v>234</v>
      </c>
      <c r="B118" t="s">
        <v>2</v>
      </c>
      <c r="D118" s="1">
        <f>COUNTIF(B118,Feladványok!#REF!)</f>
        <v>0</v>
      </c>
      <c r="E118" s="1" t="str">
        <f t="shared" si="1"/>
        <v/>
      </c>
    </row>
    <row r="119" spans="1:5" x14ac:dyDescent="0.25">
      <c r="A119" t="s">
        <v>235</v>
      </c>
      <c r="B119" t="s">
        <v>236</v>
      </c>
      <c r="D119" s="1">
        <f>COUNTIF(B119,Feladványok!#REF!)</f>
        <v>0</v>
      </c>
      <c r="E119" s="1" t="str">
        <f t="shared" si="1"/>
        <v/>
      </c>
    </row>
    <row r="120" spans="1:5" x14ac:dyDescent="0.25">
      <c r="A120" t="s">
        <v>237</v>
      </c>
      <c r="B120" t="s">
        <v>238</v>
      </c>
      <c r="D120" s="1">
        <f>COUNTIF(B120,Feladványok!#REF!)</f>
        <v>0</v>
      </c>
      <c r="E120" s="1" t="str">
        <f t="shared" si="1"/>
        <v/>
      </c>
    </row>
    <row r="121" spans="1:5" x14ac:dyDescent="0.25">
      <c r="A121" t="s">
        <v>239</v>
      </c>
      <c r="B121" t="s">
        <v>240</v>
      </c>
      <c r="D121" s="1">
        <f>COUNTIF(B121,Feladványok!#REF!)</f>
        <v>0</v>
      </c>
      <c r="E121" s="1" t="str">
        <f t="shared" si="1"/>
        <v/>
      </c>
    </row>
    <row r="122" spans="1:5" x14ac:dyDescent="0.25">
      <c r="A122" t="s">
        <v>241</v>
      </c>
      <c r="B122" t="s">
        <v>242</v>
      </c>
      <c r="D122" s="1">
        <f>COUNTIF(B122,Feladványok!#REF!)</f>
        <v>0</v>
      </c>
      <c r="E122" s="1" t="str">
        <f t="shared" si="1"/>
        <v/>
      </c>
    </row>
    <row r="123" spans="1:5" x14ac:dyDescent="0.25">
      <c r="A123" t="s">
        <v>243</v>
      </c>
      <c r="B123" t="s">
        <v>244</v>
      </c>
      <c r="D123" s="1">
        <f>COUNTIF(B123,Feladványok!#REF!)</f>
        <v>0</v>
      </c>
      <c r="E123" s="1" t="str">
        <f t="shared" si="1"/>
        <v/>
      </c>
    </row>
    <row r="124" spans="1:5" x14ac:dyDescent="0.25">
      <c r="A124" t="s">
        <v>716</v>
      </c>
      <c r="B124" t="s">
        <v>715</v>
      </c>
      <c r="D124" s="1">
        <f>COUNTIF(B124,Feladványok!#REF!)</f>
        <v>0</v>
      </c>
      <c r="E124" s="1" t="str">
        <f t="shared" si="1"/>
        <v/>
      </c>
    </row>
    <row r="125" spans="1:5" x14ac:dyDescent="0.25">
      <c r="A125" t="s">
        <v>245</v>
      </c>
      <c r="B125" t="s">
        <v>246</v>
      </c>
      <c r="D125" s="1">
        <f>COUNTIF(B125,Feladványok!#REF!)</f>
        <v>0</v>
      </c>
      <c r="E125" s="1" t="str">
        <f t="shared" si="1"/>
        <v/>
      </c>
    </row>
    <row r="126" spans="1:5" x14ac:dyDescent="0.25">
      <c r="A126" t="s">
        <v>247</v>
      </c>
      <c r="B126" t="s">
        <v>248</v>
      </c>
      <c r="D126" s="1">
        <f>COUNTIF(B126,Feladványok!#REF!)</f>
        <v>0</v>
      </c>
      <c r="E126" s="1" t="str">
        <f t="shared" si="1"/>
        <v/>
      </c>
    </row>
    <row r="127" spans="1:5" x14ac:dyDescent="0.25">
      <c r="A127" t="s">
        <v>249</v>
      </c>
      <c r="B127" t="s">
        <v>250</v>
      </c>
      <c r="D127" s="1">
        <f>COUNTIF(B127,Feladványok!#REF!)</f>
        <v>0</v>
      </c>
      <c r="E127" s="1" t="str">
        <f t="shared" si="1"/>
        <v/>
      </c>
    </row>
    <row r="128" spans="1:5" x14ac:dyDescent="0.25">
      <c r="A128" t="s">
        <v>251</v>
      </c>
      <c r="B128" t="s">
        <v>252</v>
      </c>
      <c r="D128" s="1">
        <f>COUNTIF(B128,Feladványok!#REF!)</f>
        <v>0</v>
      </c>
      <c r="E128" s="1" t="str">
        <f t="shared" si="1"/>
        <v/>
      </c>
    </row>
    <row r="129" spans="1:5" x14ac:dyDescent="0.25">
      <c r="A129" t="s">
        <v>253</v>
      </c>
      <c r="B129" t="s">
        <v>254</v>
      </c>
      <c r="D129" s="1">
        <f>COUNTIF(B129,Feladványok!#REF!)</f>
        <v>0</v>
      </c>
      <c r="E129" s="1" t="str">
        <f t="shared" si="1"/>
        <v/>
      </c>
    </row>
    <row r="130" spans="1:5" x14ac:dyDescent="0.25">
      <c r="A130" t="s">
        <v>255</v>
      </c>
      <c r="B130" t="s">
        <v>256</v>
      </c>
      <c r="D130" s="1">
        <f>COUNTIF(B130,Feladványok!#REF!)</f>
        <v>0</v>
      </c>
      <c r="E130" s="1" t="str">
        <f t="shared" ref="E130:E193" si="2">IF(D130&gt;0,A130,"")</f>
        <v/>
      </c>
    </row>
    <row r="131" spans="1:5" x14ac:dyDescent="0.25">
      <c r="A131" t="s">
        <v>257</v>
      </c>
      <c r="B131" t="s">
        <v>258</v>
      </c>
      <c r="D131" s="1">
        <f>COUNTIF(B131,Feladványok!#REF!)</f>
        <v>0</v>
      </c>
      <c r="E131" s="1" t="str">
        <f t="shared" si="2"/>
        <v/>
      </c>
    </row>
    <row r="132" spans="1:5" x14ac:dyDescent="0.25">
      <c r="A132" t="s">
        <v>259</v>
      </c>
      <c r="B132" t="s">
        <v>260</v>
      </c>
      <c r="D132" s="1">
        <f>COUNTIF(B132,Feladványok!#REF!)</f>
        <v>0</v>
      </c>
      <c r="E132" s="1" t="str">
        <f t="shared" si="2"/>
        <v/>
      </c>
    </row>
    <row r="133" spans="1:5" x14ac:dyDescent="0.25">
      <c r="A133" t="s">
        <v>261</v>
      </c>
      <c r="B133" t="s">
        <v>148</v>
      </c>
      <c r="D133" s="1">
        <f>COUNTIF(B133,Feladványok!#REF!)</f>
        <v>0</v>
      </c>
      <c r="E133" s="1" t="str">
        <f t="shared" si="2"/>
        <v/>
      </c>
    </row>
    <row r="134" spans="1:5" x14ac:dyDescent="0.25">
      <c r="A134" t="s">
        <v>262</v>
      </c>
      <c r="B134" t="s">
        <v>263</v>
      </c>
      <c r="D134" s="1">
        <f>COUNTIF(B134,Feladványok!#REF!)</f>
        <v>0</v>
      </c>
      <c r="E134" s="1" t="str">
        <f t="shared" si="2"/>
        <v/>
      </c>
    </row>
    <row r="135" spans="1:5" x14ac:dyDescent="0.25">
      <c r="A135" t="s">
        <v>264</v>
      </c>
      <c r="B135" t="s">
        <v>265</v>
      </c>
      <c r="D135" s="1">
        <f>COUNTIF(B135,Feladványok!#REF!)</f>
        <v>0</v>
      </c>
      <c r="E135" s="1" t="str">
        <f t="shared" si="2"/>
        <v/>
      </c>
    </row>
    <row r="136" spans="1:5" x14ac:dyDescent="0.25">
      <c r="A136" t="s">
        <v>266</v>
      </c>
      <c r="B136" t="s">
        <v>267</v>
      </c>
      <c r="D136" s="1">
        <f>COUNTIF(B136,Feladványok!#REF!)</f>
        <v>0</v>
      </c>
      <c r="E136" s="1" t="str">
        <f t="shared" si="2"/>
        <v/>
      </c>
    </row>
    <row r="137" spans="1:5" x14ac:dyDescent="0.25">
      <c r="A137" t="s">
        <v>268</v>
      </c>
      <c r="B137" t="s">
        <v>269</v>
      </c>
      <c r="D137" s="1">
        <f>COUNTIF(B137,Feladványok!#REF!)</f>
        <v>0</v>
      </c>
      <c r="E137" s="1" t="str">
        <f t="shared" si="2"/>
        <v/>
      </c>
    </row>
    <row r="138" spans="1:5" x14ac:dyDescent="0.25">
      <c r="A138" t="s">
        <v>270</v>
      </c>
      <c r="B138" t="s">
        <v>271</v>
      </c>
      <c r="D138" s="1">
        <f>COUNTIF(B138,Feladványok!#REF!)</f>
        <v>0</v>
      </c>
      <c r="E138" s="1" t="str">
        <f t="shared" si="2"/>
        <v/>
      </c>
    </row>
    <row r="139" spans="1:5" x14ac:dyDescent="0.25">
      <c r="A139" t="s">
        <v>272</v>
      </c>
      <c r="B139" t="s">
        <v>273</v>
      </c>
      <c r="D139" s="1">
        <f>COUNTIF(B139,Feladványok!#REF!)</f>
        <v>0</v>
      </c>
      <c r="E139" s="1" t="str">
        <f t="shared" si="2"/>
        <v/>
      </c>
    </row>
    <row r="140" spans="1:5" x14ac:dyDescent="0.25">
      <c r="A140" t="s">
        <v>274</v>
      </c>
      <c r="B140" t="s">
        <v>275</v>
      </c>
      <c r="D140" s="1">
        <f>COUNTIF(B140,Feladványok!#REF!)</f>
        <v>0</v>
      </c>
      <c r="E140" s="1" t="str">
        <f t="shared" si="2"/>
        <v/>
      </c>
    </row>
    <row r="141" spans="1:5" x14ac:dyDescent="0.25">
      <c r="A141" t="s">
        <v>276</v>
      </c>
      <c r="B141" t="s">
        <v>277</v>
      </c>
      <c r="D141" s="1">
        <f>COUNTIF(B141,Feladványok!#REF!)</f>
        <v>0</v>
      </c>
      <c r="E141" s="1" t="str">
        <f t="shared" si="2"/>
        <v/>
      </c>
    </row>
    <row r="142" spans="1:5" x14ac:dyDescent="0.25">
      <c r="A142" t="s">
        <v>278</v>
      </c>
      <c r="B142" t="s">
        <v>279</v>
      </c>
      <c r="D142" s="1">
        <f>COUNTIF(B142,Feladványok!#REF!)</f>
        <v>0</v>
      </c>
      <c r="E142" s="1" t="str">
        <f t="shared" si="2"/>
        <v/>
      </c>
    </row>
    <row r="143" spans="1:5" x14ac:dyDescent="0.25">
      <c r="A143" t="s">
        <v>280</v>
      </c>
      <c r="B143" t="s">
        <v>281</v>
      </c>
      <c r="D143" s="1">
        <f>COUNTIF(B143,Feladványok!#REF!)</f>
        <v>0</v>
      </c>
      <c r="E143" s="1" t="str">
        <f t="shared" si="2"/>
        <v/>
      </c>
    </row>
    <row r="144" spans="1:5" x14ac:dyDescent="0.25">
      <c r="A144" t="s">
        <v>282</v>
      </c>
      <c r="B144" t="s">
        <v>283</v>
      </c>
      <c r="D144" s="1">
        <f>COUNTIF(B144,Feladványok!#REF!)</f>
        <v>0</v>
      </c>
      <c r="E144" s="1" t="str">
        <f t="shared" si="2"/>
        <v/>
      </c>
    </row>
    <row r="145" spans="1:5" x14ac:dyDescent="0.25">
      <c r="A145" t="s">
        <v>284</v>
      </c>
      <c r="B145" t="s">
        <v>285</v>
      </c>
      <c r="D145" s="1">
        <f>COUNTIF(B145,Feladványok!#REF!)</f>
        <v>0</v>
      </c>
      <c r="E145" s="1" t="str">
        <f t="shared" si="2"/>
        <v/>
      </c>
    </row>
    <row r="146" spans="1:5" x14ac:dyDescent="0.25">
      <c r="A146" t="s">
        <v>286</v>
      </c>
      <c r="B146" t="s">
        <v>287</v>
      </c>
      <c r="D146" s="1">
        <f>COUNTIF(B146,Feladványok!#REF!)</f>
        <v>0</v>
      </c>
      <c r="E146" s="1" t="str">
        <f t="shared" si="2"/>
        <v/>
      </c>
    </row>
    <row r="147" spans="1:5" x14ac:dyDescent="0.25">
      <c r="A147" t="s">
        <v>288</v>
      </c>
      <c r="B147" t="s">
        <v>289</v>
      </c>
      <c r="D147" s="1">
        <f>COUNTIF(B147,Feladványok!#REF!)</f>
        <v>0</v>
      </c>
      <c r="E147" s="1" t="str">
        <f t="shared" si="2"/>
        <v/>
      </c>
    </row>
    <row r="148" spans="1:5" x14ac:dyDescent="0.25">
      <c r="A148" t="s">
        <v>290</v>
      </c>
      <c r="B148" t="s">
        <v>291</v>
      </c>
      <c r="D148" s="1">
        <f>COUNTIF(B148,Feladványok!#REF!)</f>
        <v>0</v>
      </c>
      <c r="E148" s="1" t="str">
        <f t="shared" si="2"/>
        <v/>
      </c>
    </row>
    <row r="149" spans="1:5" x14ac:dyDescent="0.25">
      <c r="A149" t="s">
        <v>292</v>
      </c>
      <c r="B149" t="s">
        <v>293</v>
      </c>
      <c r="D149" s="1">
        <f>COUNTIF(B149,Feladványok!#REF!)</f>
        <v>0</v>
      </c>
      <c r="E149" s="1" t="str">
        <f t="shared" si="2"/>
        <v/>
      </c>
    </row>
    <row r="150" spans="1:5" x14ac:dyDescent="0.25">
      <c r="A150" t="s">
        <v>294</v>
      </c>
      <c r="B150" t="s">
        <v>295</v>
      </c>
      <c r="D150" s="1">
        <f>COUNTIF(B150,Feladványok!#REF!)</f>
        <v>0</v>
      </c>
      <c r="E150" s="1" t="str">
        <f t="shared" si="2"/>
        <v/>
      </c>
    </row>
    <row r="151" spans="1:5" x14ac:dyDescent="0.25">
      <c r="A151" t="s">
        <v>296</v>
      </c>
      <c r="B151" t="s">
        <v>297</v>
      </c>
      <c r="D151" s="1">
        <f>COUNTIF(B151,Feladványok!#REF!)</f>
        <v>0</v>
      </c>
      <c r="E151" s="1" t="str">
        <f t="shared" si="2"/>
        <v/>
      </c>
    </row>
    <row r="152" spans="1:5" x14ac:dyDescent="0.25">
      <c r="A152" t="s">
        <v>298</v>
      </c>
      <c r="B152" t="s">
        <v>299</v>
      </c>
      <c r="D152" s="1">
        <f>COUNTIF(B152,Feladványok!#REF!)</f>
        <v>0</v>
      </c>
      <c r="E152" s="1" t="str">
        <f t="shared" si="2"/>
        <v/>
      </c>
    </row>
    <row r="153" spans="1:5" x14ac:dyDescent="0.25">
      <c r="A153" t="s">
        <v>300</v>
      </c>
      <c r="B153" t="s">
        <v>301</v>
      </c>
      <c r="D153" s="1">
        <f>COUNTIF(B153,Feladványok!#REF!)</f>
        <v>0</v>
      </c>
      <c r="E153" s="1" t="str">
        <f t="shared" si="2"/>
        <v/>
      </c>
    </row>
    <row r="154" spans="1:5" x14ac:dyDescent="0.25">
      <c r="A154" t="s">
        <v>302</v>
      </c>
      <c r="B154" t="s">
        <v>303</v>
      </c>
      <c r="D154" s="1">
        <f>COUNTIF(B154,Feladványok!#REF!)</f>
        <v>0</v>
      </c>
      <c r="E154" s="1" t="str">
        <f t="shared" si="2"/>
        <v/>
      </c>
    </row>
    <row r="155" spans="1:5" x14ac:dyDescent="0.25">
      <c r="A155" t="s">
        <v>304</v>
      </c>
      <c r="B155" t="s">
        <v>305</v>
      </c>
      <c r="D155" s="1">
        <f>COUNTIF(B155,Feladványok!#REF!)</f>
        <v>0</v>
      </c>
      <c r="E155" s="1" t="str">
        <f t="shared" si="2"/>
        <v/>
      </c>
    </row>
    <row r="156" spans="1:5" x14ac:dyDescent="0.25">
      <c r="A156" t="s">
        <v>306</v>
      </c>
      <c r="B156" t="s">
        <v>307</v>
      </c>
      <c r="D156" s="1">
        <f>COUNTIF(B156,Feladványok!#REF!)</f>
        <v>0</v>
      </c>
      <c r="E156" s="1" t="str">
        <f t="shared" si="2"/>
        <v/>
      </c>
    </row>
    <row r="157" spans="1:5" x14ac:dyDescent="0.25">
      <c r="A157" t="s">
        <v>308</v>
      </c>
      <c r="B157" t="s">
        <v>309</v>
      </c>
      <c r="D157" s="1">
        <f>COUNTIF(B157,Feladványok!#REF!)</f>
        <v>0</v>
      </c>
      <c r="E157" s="1" t="str">
        <f t="shared" si="2"/>
        <v/>
      </c>
    </row>
    <row r="158" spans="1:5" x14ac:dyDescent="0.25">
      <c r="A158" t="s">
        <v>310</v>
      </c>
      <c r="B158" t="s">
        <v>311</v>
      </c>
      <c r="D158" s="1">
        <f>COUNTIF(B158,Feladványok!#REF!)</f>
        <v>0</v>
      </c>
      <c r="E158" s="1" t="str">
        <f t="shared" si="2"/>
        <v/>
      </c>
    </row>
    <row r="159" spans="1:5" x14ac:dyDescent="0.25">
      <c r="A159" t="s">
        <v>312</v>
      </c>
      <c r="B159" t="s">
        <v>313</v>
      </c>
      <c r="D159" s="1">
        <f>COUNTIF(B159,Feladványok!#REF!)</f>
        <v>0</v>
      </c>
      <c r="E159" s="1" t="str">
        <f t="shared" si="2"/>
        <v/>
      </c>
    </row>
    <row r="160" spans="1:5" x14ac:dyDescent="0.25">
      <c r="A160" t="s">
        <v>314</v>
      </c>
      <c r="B160" t="s">
        <v>315</v>
      </c>
      <c r="D160" s="1">
        <f>COUNTIF(B160,Feladványok!#REF!)</f>
        <v>0</v>
      </c>
      <c r="E160" s="1" t="str">
        <f t="shared" si="2"/>
        <v/>
      </c>
    </row>
    <row r="161" spans="1:5" x14ac:dyDescent="0.25">
      <c r="A161" t="s">
        <v>316</v>
      </c>
      <c r="B161" t="s">
        <v>317</v>
      </c>
      <c r="D161" s="1">
        <f>COUNTIF(B161,Feladványok!#REF!)</f>
        <v>0</v>
      </c>
      <c r="E161" s="1" t="str">
        <f t="shared" si="2"/>
        <v/>
      </c>
    </row>
    <row r="162" spans="1:5" x14ac:dyDescent="0.25">
      <c r="A162" t="s">
        <v>318</v>
      </c>
      <c r="B162" t="s">
        <v>319</v>
      </c>
      <c r="D162" s="1">
        <f>COUNTIF(B162,Feladványok!#REF!)</f>
        <v>0</v>
      </c>
      <c r="E162" s="1" t="str">
        <f t="shared" si="2"/>
        <v/>
      </c>
    </row>
    <row r="163" spans="1:5" x14ac:dyDescent="0.25">
      <c r="A163" t="s">
        <v>320</v>
      </c>
      <c r="B163" t="s">
        <v>321</v>
      </c>
      <c r="D163" s="1">
        <f>COUNTIF(B163,Feladványok!#REF!)</f>
        <v>0</v>
      </c>
      <c r="E163" s="1" t="str">
        <f t="shared" si="2"/>
        <v/>
      </c>
    </row>
    <row r="164" spans="1:5" x14ac:dyDescent="0.25">
      <c r="A164" t="s">
        <v>322</v>
      </c>
      <c r="B164" t="s">
        <v>323</v>
      </c>
      <c r="D164" s="1">
        <f>COUNTIF(B164,Feladványok!#REF!)</f>
        <v>0</v>
      </c>
      <c r="E164" s="1" t="str">
        <f t="shared" si="2"/>
        <v/>
      </c>
    </row>
    <row r="165" spans="1:5" x14ac:dyDescent="0.25">
      <c r="A165" t="s">
        <v>324</v>
      </c>
      <c r="B165" t="s">
        <v>325</v>
      </c>
      <c r="D165" s="1">
        <f>COUNTIF(B165,Feladványok!#REF!)</f>
        <v>0</v>
      </c>
      <c r="E165" s="1" t="str">
        <f t="shared" si="2"/>
        <v/>
      </c>
    </row>
    <row r="166" spans="1:5" x14ac:dyDescent="0.25">
      <c r="A166" t="s">
        <v>326</v>
      </c>
      <c r="B166" t="s">
        <v>327</v>
      </c>
      <c r="D166" s="1">
        <f>COUNTIF(B166,Feladványok!#REF!)</f>
        <v>0</v>
      </c>
      <c r="E166" s="1" t="str">
        <f t="shared" si="2"/>
        <v/>
      </c>
    </row>
    <row r="167" spans="1:5" x14ac:dyDescent="0.25">
      <c r="A167" t="s">
        <v>328</v>
      </c>
      <c r="B167" t="s">
        <v>329</v>
      </c>
      <c r="D167" s="1">
        <f>COUNTIF(B167,Feladványok!#REF!)</f>
        <v>0</v>
      </c>
      <c r="E167" s="1" t="str">
        <f t="shared" si="2"/>
        <v/>
      </c>
    </row>
    <row r="168" spans="1:5" x14ac:dyDescent="0.25">
      <c r="A168" t="s">
        <v>330</v>
      </c>
      <c r="B168" t="s">
        <v>331</v>
      </c>
      <c r="D168" s="1">
        <f>COUNTIF(B168,Feladványok!#REF!)</f>
        <v>0</v>
      </c>
      <c r="E168" s="1" t="str">
        <f t="shared" si="2"/>
        <v/>
      </c>
    </row>
    <row r="169" spans="1:5" x14ac:dyDescent="0.25">
      <c r="A169" t="s">
        <v>332</v>
      </c>
      <c r="B169" t="s">
        <v>333</v>
      </c>
      <c r="D169" s="1">
        <f>COUNTIF(B169,Feladványok!#REF!)</f>
        <v>0</v>
      </c>
      <c r="E169" s="1" t="str">
        <f t="shared" si="2"/>
        <v/>
      </c>
    </row>
    <row r="170" spans="1:5" x14ac:dyDescent="0.25">
      <c r="A170" t="s">
        <v>334</v>
      </c>
      <c r="B170" t="s">
        <v>335</v>
      </c>
      <c r="D170" s="1">
        <f>COUNTIF(B170,Feladványok!#REF!)</f>
        <v>0</v>
      </c>
      <c r="E170" s="1" t="str">
        <f t="shared" si="2"/>
        <v/>
      </c>
    </row>
    <row r="171" spans="1:5" x14ac:dyDescent="0.25">
      <c r="A171" t="s">
        <v>336</v>
      </c>
      <c r="B171" t="s">
        <v>337</v>
      </c>
      <c r="D171" s="1">
        <f>COUNTIF(B171,Feladványok!#REF!)</f>
        <v>0</v>
      </c>
      <c r="E171" s="1" t="str">
        <f t="shared" si="2"/>
        <v/>
      </c>
    </row>
    <row r="172" spans="1:5" x14ac:dyDescent="0.25">
      <c r="A172" t="s">
        <v>338</v>
      </c>
      <c r="B172" t="s">
        <v>339</v>
      </c>
      <c r="D172" s="1">
        <f>COUNTIF(B172,Feladványok!#REF!)</f>
        <v>0</v>
      </c>
      <c r="E172" s="1" t="str">
        <f t="shared" si="2"/>
        <v/>
      </c>
    </row>
    <row r="173" spans="1:5" x14ac:dyDescent="0.25">
      <c r="A173" t="s">
        <v>340</v>
      </c>
      <c r="B173" t="s">
        <v>341</v>
      </c>
      <c r="D173" s="1">
        <f>COUNTIF(B173,Feladványok!#REF!)</f>
        <v>0</v>
      </c>
      <c r="E173" s="1" t="str">
        <f t="shared" si="2"/>
        <v/>
      </c>
    </row>
    <row r="174" spans="1:5" x14ac:dyDescent="0.25">
      <c r="A174" t="s">
        <v>342</v>
      </c>
      <c r="B174" t="s">
        <v>343</v>
      </c>
      <c r="D174" s="1">
        <f>COUNTIF(B174,Feladványok!#REF!)</f>
        <v>0</v>
      </c>
      <c r="E174" s="1" t="str">
        <f t="shared" si="2"/>
        <v/>
      </c>
    </row>
    <row r="175" spans="1:5" x14ac:dyDescent="0.25">
      <c r="A175" t="s">
        <v>344</v>
      </c>
      <c r="B175" t="s">
        <v>345</v>
      </c>
      <c r="D175" s="1">
        <f>COUNTIF(B175,Feladványok!#REF!)</f>
        <v>0</v>
      </c>
      <c r="E175" s="1" t="str">
        <f t="shared" si="2"/>
        <v/>
      </c>
    </row>
    <row r="176" spans="1:5" x14ac:dyDescent="0.25">
      <c r="A176" t="s">
        <v>346</v>
      </c>
      <c r="B176" t="s">
        <v>347</v>
      </c>
      <c r="D176" s="1">
        <f>COUNTIF(B176,Feladványok!#REF!)</f>
        <v>0</v>
      </c>
      <c r="E176" s="1" t="str">
        <f t="shared" si="2"/>
        <v/>
      </c>
    </row>
    <row r="177" spans="1:5" x14ac:dyDescent="0.25">
      <c r="A177" t="s">
        <v>348</v>
      </c>
      <c r="B177" t="s">
        <v>349</v>
      </c>
      <c r="D177" s="1">
        <f>COUNTIF(B177,Feladványok!#REF!)</f>
        <v>0</v>
      </c>
      <c r="E177" s="1" t="str">
        <f t="shared" si="2"/>
        <v/>
      </c>
    </row>
    <row r="178" spans="1:5" x14ac:dyDescent="0.25">
      <c r="A178" t="s">
        <v>350</v>
      </c>
      <c r="B178" t="s">
        <v>140</v>
      </c>
      <c r="D178" s="1">
        <f>COUNTIF(B178,Feladványok!#REF!)</f>
        <v>0</v>
      </c>
      <c r="E178" s="1" t="str">
        <f t="shared" si="2"/>
        <v/>
      </c>
    </row>
    <row r="179" spans="1:5" x14ac:dyDescent="0.25">
      <c r="A179" t="s">
        <v>351</v>
      </c>
      <c r="B179" t="s">
        <v>352</v>
      </c>
      <c r="D179" s="1">
        <f>COUNTIF(B179,Feladványok!#REF!)</f>
        <v>0</v>
      </c>
      <c r="E179" s="1" t="str">
        <f t="shared" si="2"/>
        <v/>
      </c>
    </row>
    <row r="180" spans="1:5" x14ac:dyDescent="0.25">
      <c r="A180" t="s">
        <v>353</v>
      </c>
      <c r="B180" t="s">
        <v>354</v>
      </c>
      <c r="D180" s="1">
        <f>COUNTIF(B180,Feladványok!#REF!)</f>
        <v>0</v>
      </c>
      <c r="E180" s="1" t="str">
        <f t="shared" si="2"/>
        <v/>
      </c>
    </row>
    <row r="181" spans="1:5" x14ac:dyDescent="0.25">
      <c r="A181" t="s">
        <v>355</v>
      </c>
      <c r="B181" t="s">
        <v>356</v>
      </c>
      <c r="D181" s="1">
        <f>COUNTIF(B181,Feladványok!#REF!)</f>
        <v>0</v>
      </c>
      <c r="E181" s="1" t="str">
        <f t="shared" si="2"/>
        <v/>
      </c>
    </row>
    <row r="182" spans="1:5" x14ac:dyDescent="0.25">
      <c r="A182" t="s">
        <v>357</v>
      </c>
      <c r="B182" t="s">
        <v>358</v>
      </c>
      <c r="D182" s="1">
        <f>COUNTIF(B182,Feladványok!#REF!)</f>
        <v>0</v>
      </c>
      <c r="E182" s="1" t="str">
        <f t="shared" si="2"/>
        <v/>
      </c>
    </row>
    <row r="183" spans="1:5" x14ac:dyDescent="0.25">
      <c r="A183" t="s">
        <v>359</v>
      </c>
      <c r="B183" t="s">
        <v>360</v>
      </c>
      <c r="D183" s="1">
        <f>COUNTIF(B183,Feladványok!#REF!)</f>
        <v>0</v>
      </c>
      <c r="E183" s="1" t="str">
        <f t="shared" si="2"/>
        <v/>
      </c>
    </row>
    <row r="184" spans="1:5" x14ac:dyDescent="0.25">
      <c r="A184" t="s">
        <v>361</v>
      </c>
      <c r="B184" t="s">
        <v>362</v>
      </c>
      <c r="D184" s="1">
        <f>COUNTIF(B184,Feladványok!#REF!)</f>
        <v>0</v>
      </c>
      <c r="E184" s="1" t="str">
        <f t="shared" si="2"/>
        <v/>
      </c>
    </row>
    <row r="185" spans="1:5" x14ac:dyDescent="0.25">
      <c r="A185" t="s">
        <v>363</v>
      </c>
      <c r="B185" t="s">
        <v>57</v>
      </c>
      <c r="D185" s="1">
        <f>COUNTIF(B185,Feladványok!#REF!)</f>
        <v>0</v>
      </c>
      <c r="E185" s="1" t="str">
        <f t="shared" si="2"/>
        <v/>
      </c>
    </row>
    <row r="186" spans="1:5" x14ac:dyDescent="0.25">
      <c r="A186" t="s">
        <v>717</v>
      </c>
      <c r="B186" t="s">
        <v>715</v>
      </c>
      <c r="D186" s="1">
        <f>COUNTIF(B186,Feladványok!#REF!)</f>
        <v>0</v>
      </c>
      <c r="E186" s="1" t="str">
        <f t="shared" si="2"/>
        <v/>
      </c>
    </row>
    <row r="187" spans="1:5" x14ac:dyDescent="0.25">
      <c r="A187" t="s">
        <v>364</v>
      </c>
      <c r="B187" t="s">
        <v>365</v>
      </c>
      <c r="D187" s="1">
        <f>COUNTIF(B187,Feladványok!#REF!)</f>
        <v>0</v>
      </c>
      <c r="E187" s="1" t="str">
        <f t="shared" si="2"/>
        <v/>
      </c>
    </row>
    <row r="188" spans="1:5" x14ac:dyDescent="0.25">
      <c r="A188" t="s">
        <v>366</v>
      </c>
      <c r="B188" t="s">
        <v>367</v>
      </c>
      <c r="D188" s="1">
        <f>COUNTIF(B188,Feladványok!#REF!)</f>
        <v>0</v>
      </c>
      <c r="E188" s="1" t="str">
        <f t="shared" si="2"/>
        <v/>
      </c>
    </row>
    <row r="189" spans="1:5" x14ac:dyDescent="0.25">
      <c r="A189" t="s">
        <v>368</v>
      </c>
      <c r="B189" t="s">
        <v>369</v>
      </c>
      <c r="D189" s="1">
        <f>COUNTIF(B189,Feladványok!#REF!)</f>
        <v>0</v>
      </c>
      <c r="E189" s="1" t="str">
        <f t="shared" si="2"/>
        <v/>
      </c>
    </row>
    <row r="190" spans="1:5" x14ac:dyDescent="0.25">
      <c r="A190" t="s">
        <v>370</v>
      </c>
      <c r="B190" t="s">
        <v>371</v>
      </c>
      <c r="D190" s="1">
        <f>COUNTIF(B190,Feladványok!#REF!)</f>
        <v>0</v>
      </c>
      <c r="E190" s="1" t="str">
        <f t="shared" si="2"/>
        <v/>
      </c>
    </row>
    <row r="191" spans="1:5" x14ac:dyDescent="0.25">
      <c r="A191" t="s">
        <v>372</v>
      </c>
      <c r="B191" t="s">
        <v>373</v>
      </c>
      <c r="D191" s="1">
        <f>COUNTIF(B191,Feladványok!#REF!)</f>
        <v>0</v>
      </c>
      <c r="E191" s="1" t="str">
        <f t="shared" si="2"/>
        <v/>
      </c>
    </row>
    <row r="192" spans="1:5" x14ac:dyDescent="0.25">
      <c r="A192" t="s">
        <v>374</v>
      </c>
      <c r="B192" t="s">
        <v>5</v>
      </c>
      <c r="D192" s="1">
        <f>COUNTIF(B192,Feladványok!#REF!)</f>
        <v>0</v>
      </c>
      <c r="E192" s="1" t="str">
        <f t="shared" si="2"/>
        <v/>
      </c>
    </row>
    <row r="193" spans="1:5" x14ac:dyDescent="0.25">
      <c r="A193" t="s">
        <v>375</v>
      </c>
      <c r="B193" t="s">
        <v>376</v>
      </c>
      <c r="D193" s="1">
        <f>COUNTIF(B193,Feladványok!#REF!)</f>
        <v>0</v>
      </c>
      <c r="E193" s="1" t="str">
        <f t="shared" si="2"/>
        <v/>
      </c>
    </row>
    <row r="194" spans="1:5" x14ac:dyDescent="0.25">
      <c r="A194" t="s">
        <v>377</v>
      </c>
      <c r="B194" t="s">
        <v>378</v>
      </c>
      <c r="D194" s="1">
        <f>COUNTIF(B194,Feladványok!#REF!)</f>
        <v>0</v>
      </c>
      <c r="E194" s="1" t="str">
        <f t="shared" ref="E194:E257" si="3">IF(D194&gt;0,A194,"")</f>
        <v/>
      </c>
    </row>
    <row r="195" spans="1:5" x14ac:dyDescent="0.25">
      <c r="A195" t="s">
        <v>379</v>
      </c>
      <c r="B195" t="s">
        <v>380</v>
      </c>
      <c r="D195" s="1">
        <f>COUNTIF(B195,Feladványok!#REF!)</f>
        <v>0</v>
      </c>
      <c r="E195" s="1" t="str">
        <f t="shared" si="3"/>
        <v/>
      </c>
    </row>
    <row r="196" spans="1:5" x14ac:dyDescent="0.25">
      <c r="A196" t="s">
        <v>381</v>
      </c>
      <c r="B196" t="s">
        <v>382</v>
      </c>
      <c r="D196" s="1">
        <f>COUNTIF(B196,Feladványok!#REF!)</f>
        <v>0</v>
      </c>
      <c r="E196" s="1" t="str">
        <f t="shared" si="3"/>
        <v/>
      </c>
    </row>
    <row r="197" spans="1:5" x14ac:dyDescent="0.25">
      <c r="A197" t="s">
        <v>383</v>
      </c>
      <c r="B197" t="s">
        <v>384</v>
      </c>
      <c r="D197" s="1">
        <f>COUNTIF(B197,Feladványok!#REF!)</f>
        <v>0</v>
      </c>
      <c r="E197" s="1" t="str">
        <f t="shared" si="3"/>
        <v/>
      </c>
    </row>
    <row r="198" spans="1:5" x14ac:dyDescent="0.25">
      <c r="A198" t="s">
        <v>385</v>
      </c>
      <c r="B198" t="s">
        <v>386</v>
      </c>
      <c r="D198" s="1">
        <f>COUNTIF(B198,Feladványok!#REF!)</f>
        <v>0</v>
      </c>
      <c r="E198" s="1" t="str">
        <f t="shared" si="3"/>
        <v/>
      </c>
    </row>
    <row r="199" spans="1:5" x14ac:dyDescent="0.25">
      <c r="A199" t="s">
        <v>387</v>
      </c>
      <c r="B199" t="s">
        <v>388</v>
      </c>
      <c r="D199" s="1">
        <f>COUNTIF(B199,Feladványok!#REF!)</f>
        <v>0</v>
      </c>
      <c r="E199" s="1" t="str">
        <f t="shared" si="3"/>
        <v/>
      </c>
    </row>
    <row r="200" spans="1:5" x14ac:dyDescent="0.25">
      <c r="A200" t="s">
        <v>389</v>
      </c>
      <c r="B200" t="s">
        <v>390</v>
      </c>
      <c r="D200" s="1">
        <f>COUNTIF(B200,Feladványok!#REF!)</f>
        <v>0</v>
      </c>
      <c r="E200" s="1" t="str">
        <f t="shared" si="3"/>
        <v/>
      </c>
    </row>
    <row r="201" spans="1:5" x14ac:dyDescent="0.25">
      <c r="A201" t="s">
        <v>391</v>
      </c>
      <c r="B201" t="s">
        <v>392</v>
      </c>
      <c r="D201" s="1">
        <f>COUNTIF(B201,Feladványok!#REF!)</f>
        <v>0</v>
      </c>
      <c r="E201" s="1" t="str">
        <f t="shared" si="3"/>
        <v/>
      </c>
    </row>
    <row r="202" spans="1:5" x14ac:dyDescent="0.25">
      <c r="A202" t="s">
        <v>393</v>
      </c>
      <c r="B202" t="s">
        <v>394</v>
      </c>
      <c r="D202" s="1">
        <f>COUNTIF(B202,Feladványok!#REF!)</f>
        <v>0</v>
      </c>
      <c r="E202" s="1" t="str">
        <f t="shared" si="3"/>
        <v/>
      </c>
    </row>
    <row r="203" spans="1:5" x14ac:dyDescent="0.25">
      <c r="A203" t="s">
        <v>395</v>
      </c>
      <c r="B203" t="s">
        <v>396</v>
      </c>
      <c r="D203" s="1">
        <f>COUNTIF(B203,Feladványok!#REF!)</f>
        <v>0</v>
      </c>
      <c r="E203" s="1" t="str">
        <f t="shared" si="3"/>
        <v/>
      </c>
    </row>
    <row r="204" spans="1:5" x14ac:dyDescent="0.25">
      <c r="A204" t="s">
        <v>397</v>
      </c>
      <c r="B204" t="s">
        <v>398</v>
      </c>
      <c r="D204" s="1">
        <f>COUNTIF(B204,Feladványok!#REF!)</f>
        <v>0</v>
      </c>
      <c r="E204" s="1" t="str">
        <f t="shared" si="3"/>
        <v/>
      </c>
    </row>
    <row r="205" spans="1:5" x14ac:dyDescent="0.25">
      <c r="A205" t="s">
        <v>399</v>
      </c>
      <c r="B205" t="s">
        <v>400</v>
      </c>
      <c r="D205" s="1">
        <f>COUNTIF(B205,Feladványok!#REF!)</f>
        <v>0</v>
      </c>
      <c r="E205" s="1" t="str">
        <f t="shared" si="3"/>
        <v/>
      </c>
    </row>
    <row r="206" spans="1:5" x14ac:dyDescent="0.25">
      <c r="A206" t="s">
        <v>401</v>
      </c>
      <c r="B206" t="s">
        <v>3</v>
      </c>
      <c r="D206" s="1">
        <f>COUNTIF(B206,Feladványok!#REF!)</f>
        <v>0</v>
      </c>
      <c r="E206" s="1" t="str">
        <f t="shared" si="3"/>
        <v/>
      </c>
    </row>
    <row r="207" spans="1:5" x14ac:dyDescent="0.25">
      <c r="A207" t="s">
        <v>402</v>
      </c>
      <c r="B207" t="s">
        <v>403</v>
      </c>
      <c r="D207" s="1">
        <f>COUNTIF(B207,Feladványok!#REF!)</f>
        <v>0</v>
      </c>
      <c r="E207" s="1" t="str">
        <f t="shared" si="3"/>
        <v/>
      </c>
    </row>
    <row r="208" spans="1:5" x14ac:dyDescent="0.25">
      <c r="A208" t="s">
        <v>404</v>
      </c>
      <c r="B208" t="s">
        <v>301</v>
      </c>
      <c r="D208" s="1">
        <f>COUNTIF(B208,Feladványok!#REF!)</f>
        <v>0</v>
      </c>
      <c r="E208" s="1" t="str">
        <f t="shared" si="3"/>
        <v/>
      </c>
    </row>
    <row r="209" spans="1:5" x14ac:dyDescent="0.25">
      <c r="A209" t="s">
        <v>405</v>
      </c>
      <c r="B209" t="s">
        <v>406</v>
      </c>
      <c r="D209" s="1">
        <f>COUNTIF(B209,Feladványok!#REF!)</f>
        <v>0</v>
      </c>
      <c r="E209" s="1" t="str">
        <f t="shared" si="3"/>
        <v/>
      </c>
    </row>
    <row r="210" spans="1:5" x14ac:dyDescent="0.25">
      <c r="A210" t="s">
        <v>407</v>
      </c>
      <c r="B210" t="s">
        <v>408</v>
      </c>
      <c r="D210" s="1">
        <f>COUNTIF(B210,Feladványok!#REF!)</f>
        <v>0</v>
      </c>
      <c r="E210" s="1" t="str">
        <f t="shared" si="3"/>
        <v/>
      </c>
    </row>
    <row r="211" spans="1:5" x14ac:dyDescent="0.25">
      <c r="A211" t="s">
        <v>409</v>
      </c>
      <c r="B211" t="s">
        <v>410</v>
      </c>
      <c r="D211" s="1">
        <f>COUNTIF(B211,Feladványok!#REF!)</f>
        <v>0</v>
      </c>
      <c r="E211" s="1" t="str">
        <f t="shared" si="3"/>
        <v/>
      </c>
    </row>
    <row r="212" spans="1:5" x14ac:dyDescent="0.25">
      <c r="A212" t="s">
        <v>411</v>
      </c>
      <c r="B212" t="s">
        <v>412</v>
      </c>
      <c r="D212" s="1">
        <f>COUNTIF(B212,Feladványok!#REF!)</f>
        <v>0</v>
      </c>
      <c r="E212" s="1" t="str">
        <f t="shared" si="3"/>
        <v/>
      </c>
    </row>
    <row r="213" spans="1:5" x14ac:dyDescent="0.25">
      <c r="A213" t="s">
        <v>413</v>
      </c>
      <c r="B213" t="s">
        <v>414</v>
      </c>
      <c r="D213" s="1">
        <f>COUNTIF(B213,Feladványok!#REF!)</f>
        <v>0</v>
      </c>
      <c r="E213" s="1" t="str">
        <f t="shared" si="3"/>
        <v/>
      </c>
    </row>
    <row r="214" spans="1:5" x14ac:dyDescent="0.25">
      <c r="A214" t="s">
        <v>415</v>
      </c>
      <c r="B214" t="s">
        <v>416</v>
      </c>
      <c r="D214" s="1">
        <f>COUNTIF(B214,Feladványok!#REF!)</f>
        <v>0</v>
      </c>
      <c r="E214" s="1" t="str">
        <f t="shared" si="3"/>
        <v/>
      </c>
    </row>
    <row r="215" spans="1:5" x14ac:dyDescent="0.25">
      <c r="A215" t="s">
        <v>417</v>
      </c>
      <c r="B215" t="s">
        <v>418</v>
      </c>
      <c r="D215" s="1">
        <f>COUNTIF(B215,Feladványok!#REF!)</f>
        <v>0</v>
      </c>
      <c r="E215" s="1" t="str">
        <f t="shared" si="3"/>
        <v/>
      </c>
    </row>
    <row r="216" spans="1:5" x14ac:dyDescent="0.25">
      <c r="A216" t="s">
        <v>419</v>
      </c>
      <c r="B216" t="s">
        <v>420</v>
      </c>
      <c r="D216" s="1">
        <f>COUNTIF(B216,Feladványok!#REF!)</f>
        <v>0</v>
      </c>
      <c r="E216" s="1" t="str">
        <f t="shared" si="3"/>
        <v/>
      </c>
    </row>
    <row r="217" spans="1:5" x14ac:dyDescent="0.25">
      <c r="A217" t="s">
        <v>421</v>
      </c>
      <c r="B217" t="s">
        <v>422</v>
      </c>
      <c r="D217" s="1">
        <f>COUNTIF(B217,Feladványok!#REF!)</f>
        <v>0</v>
      </c>
      <c r="E217" s="1" t="str">
        <f t="shared" si="3"/>
        <v/>
      </c>
    </row>
    <row r="218" spans="1:5" x14ac:dyDescent="0.25">
      <c r="A218" t="s">
        <v>423</v>
      </c>
      <c r="B218" t="s">
        <v>424</v>
      </c>
      <c r="D218" s="1">
        <f>COUNTIF(B218,Feladványok!#REF!)</f>
        <v>0</v>
      </c>
      <c r="E218" s="1" t="str">
        <f t="shared" si="3"/>
        <v/>
      </c>
    </row>
    <row r="219" spans="1:5" x14ac:dyDescent="0.25">
      <c r="A219" t="s">
        <v>425</v>
      </c>
      <c r="B219" t="s">
        <v>426</v>
      </c>
      <c r="D219" s="1">
        <f>COUNTIF(B219,Feladványok!#REF!)</f>
        <v>0</v>
      </c>
      <c r="E219" s="1" t="str">
        <f t="shared" si="3"/>
        <v/>
      </c>
    </row>
    <row r="220" spans="1:5" x14ac:dyDescent="0.25">
      <c r="A220" t="s">
        <v>427</v>
      </c>
      <c r="B220" t="s">
        <v>428</v>
      </c>
      <c r="D220" s="1">
        <f>COUNTIF(B220,Feladványok!#REF!)</f>
        <v>0</v>
      </c>
      <c r="E220" s="1" t="str">
        <f t="shared" si="3"/>
        <v/>
      </c>
    </row>
    <row r="221" spans="1:5" x14ac:dyDescent="0.25">
      <c r="A221" t="s">
        <v>429</v>
      </c>
      <c r="B221" t="s">
        <v>430</v>
      </c>
      <c r="D221" s="1">
        <f>COUNTIF(B221,Feladványok!#REF!)</f>
        <v>0</v>
      </c>
      <c r="E221" s="1" t="str">
        <f t="shared" si="3"/>
        <v/>
      </c>
    </row>
    <row r="222" spans="1:5" x14ac:dyDescent="0.25">
      <c r="A222" t="s">
        <v>431</v>
      </c>
      <c r="B222" t="s">
        <v>432</v>
      </c>
      <c r="D222" s="1">
        <f>COUNTIF(B222,Feladványok!#REF!)</f>
        <v>0</v>
      </c>
      <c r="E222" s="1" t="str">
        <f t="shared" si="3"/>
        <v/>
      </c>
    </row>
    <row r="223" spans="1:5" x14ac:dyDescent="0.25">
      <c r="A223" t="s">
        <v>433</v>
      </c>
      <c r="B223" t="s">
        <v>434</v>
      </c>
      <c r="D223" s="1">
        <f>COUNTIF(B223,Feladványok!#REF!)</f>
        <v>0</v>
      </c>
      <c r="E223" s="1" t="str">
        <f t="shared" si="3"/>
        <v/>
      </c>
    </row>
    <row r="224" spans="1:5" x14ac:dyDescent="0.25">
      <c r="A224" t="s">
        <v>435</v>
      </c>
      <c r="B224" t="s">
        <v>436</v>
      </c>
      <c r="D224" s="1">
        <f>COUNTIF(B224,Feladványok!#REF!)</f>
        <v>0</v>
      </c>
      <c r="E224" s="1" t="str">
        <f t="shared" si="3"/>
        <v/>
      </c>
    </row>
    <row r="225" spans="1:5" x14ac:dyDescent="0.25">
      <c r="A225" t="s">
        <v>437</v>
      </c>
      <c r="B225" t="s">
        <v>358</v>
      </c>
      <c r="D225" s="1">
        <f>COUNTIF(B225,Feladványok!#REF!)</f>
        <v>0</v>
      </c>
      <c r="E225" s="1" t="str">
        <f t="shared" si="3"/>
        <v/>
      </c>
    </row>
    <row r="226" spans="1:5" x14ac:dyDescent="0.25">
      <c r="A226" t="s">
        <v>438</v>
      </c>
      <c r="B226" t="s">
        <v>439</v>
      </c>
      <c r="D226" s="1">
        <f>COUNTIF(B226,Feladványok!#REF!)</f>
        <v>0</v>
      </c>
      <c r="E226" s="1" t="str">
        <f t="shared" si="3"/>
        <v/>
      </c>
    </row>
    <row r="227" spans="1:5" x14ac:dyDescent="0.25">
      <c r="A227" t="s">
        <v>440</v>
      </c>
      <c r="B227" t="s">
        <v>441</v>
      </c>
      <c r="D227" s="1">
        <f>COUNTIF(B227,Feladványok!#REF!)</f>
        <v>0</v>
      </c>
      <c r="E227" s="1" t="str">
        <f t="shared" si="3"/>
        <v/>
      </c>
    </row>
    <row r="228" spans="1:5" x14ac:dyDescent="0.25">
      <c r="A228" t="s">
        <v>442</v>
      </c>
      <c r="B228" t="s">
        <v>443</v>
      </c>
      <c r="D228" s="1">
        <f>COUNTIF(B228,Feladványok!#REF!)</f>
        <v>0</v>
      </c>
      <c r="E228" s="1" t="str">
        <f t="shared" si="3"/>
        <v/>
      </c>
    </row>
    <row r="229" spans="1:5" x14ac:dyDescent="0.25">
      <c r="A229" t="s">
        <v>444</v>
      </c>
      <c r="B229" t="s">
        <v>0</v>
      </c>
      <c r="D229" s="1">
        <f>COUNTIF(B229,Feladványok!#REF!)</f>
        <v>0</v>
      </c>
      <c r="E229" s="1" t="str">
        <f t="shared" si="3"/>
        <v/>
      </c>
    </row>
    <row r="230" spans="1:5" x14ac:dyDescent="0.25">
      <c r="A230" t="s">
        <v>445</v>
      </c>
      <c r="B230" t="s">
        <v>446</v>
      </c>
      <c r="D230" s="1">
        <f>COUNTIF(B230,Feladványok!#REF!)</f>
        <v>0</v>
      </c>
      <c r="E230" s="1" t="str">
        <f t="shared" si="3"/>
        <v/>
      </c>
    </row>
    <row r="231" spans="1:5" x14ac:dyDescent="0.25">
      <c r="A231" t="s">
        <v>447</v>
      </c>
      <c r="B231" t="s">
        <v>25</v>
      </c>
      <c r="D231" s="1">
        <f>COUNTIF(B231,Feladványok!#REF!)</f>
        <v>0</v>
      </c>
      <c r="E231" s="1" t="str">
        <f t="shared" si="3"/>
        <v/>
      </c>
    </row>
    <row r="232" spans="1:5" x14ac:dyDescent="0.25">
      <c r="A232" t="s">
        <v>448</v>
      </c>
      <c r="B232" t="s">
        <v>449</v>
      </c>
      <c r="D232" s="1">
        <f>COUNTIF(B232,Feladványok!#REF!)</f>
        <v>0</v>
      </c>
      <c r="E232" s="1" t="str">
        <f t="shared" si="3"/>
        <v/>
      </c>
    </row>
    <row r="233" spans="1:5" x14ac:dyDescent="0.25">
      <c r="A233" t="s">
        <v>450</v>
      </c>
      <c r="B233" t="s">
        <v>451</v>
      </c>
      <c r="D233" s="1">
        <f>COUNTIF(B233,Feladványok!#REF!)</f>
        <v>0</v>
      </c>
      <c r="E233" s="1" t="str">
        <f t="shared" si="3"/>
        <v/>
      </c>
    </row>
    <row r="234" spans="1:5" x14ac:dyDescent="0.25">
      <c r="A234" t="s">
        <v>452</v>
      </c>
      <c r="B234" t="s">
        <v>453</v>
      </c>
      <c r="D234" s="1">
        <f>COUNTIF(B234,Feladványok!#REF!)</f>
        <v>0</v>
      </c>
      <c r="E234" s="1" t="str">
        <f t="shared" si="3"/>
        <v/>
      </c>
    </row>
    <row r="235" spans="1:5" x14ac:dyDescent="0.25">
      <c r="A235" t="s">
        <v>454</v>
      </c>
      <c r="B235" t="s">
        <v>455</v>
      </c>
      <c r="D235" s="1">
        <f>COUNTIF(B235,Feladványok!#REF!)</f>
        <v>0</v>
      </c>
      <c r="E235" s="1" t="str">
        <f t="shared" si="3"/>
        <v/>
      </c>
    </row>
    <row r="236" spans="1:5" x14ac:dyDescent="0.25">
      <c r="A236" t="s">
        <v>456</v>
      </c>
      <c r="B236" t="s">
        <v>457</v>
      </c>
      <c r="D236" s="1">
        <f>COUNTIF(B236,Feladványok!#REF!)</f>
        <v>0</v>
      </c>
      <c r="E236" s="1" t="str">
        <f t="shared" si="3"/>
        <v/>
      </c>
    </row>
    <row r="237" spans="1:5" x14ac:dyDescent="0.25">
      <c r="A237" t="s">
        <v>458</v>
      </c>
      <c r="B237" t="s">
        <v>459</v>
      </c>
      <c r="D237" s="1">
        <f>COUNTIF(B237,Feladványok!#REF!)</f>
        <v>0</v>
      </c>
      <c r="E237" s="1" t="str">
        <f t="shared" si="3"/>
        <v/>
      </c>
    </row>
    <row r="238" spans="1:5" x14ac:dyDescent="0.25">
      <c r="A238" t="s">
        <v>460</v>
      </c>
      <c r="B238" t="s">
        <v>461</v>
      </c>
      <c r="D238" s="1">
        <f>COUNTIF(B238,Feladványok!#REF!)</f>
        <v>0</v>
      </c>
      <c r="E238" s="1" t="str">
        <f t="shared" si="3"/>
        <v/>
      </c>
    </row>
    <row r="239" spans="1:5" x14ac:dyDescent="0.25">
      <c r="A239" t="s">
        <v>462</v>
      </c>
      <c r="B239" t="s">
        <v>463</v>
      </c>
      <c r="D239" s="1">
        <f>COUNTIF(B239,Feladványok!#REF!)</f>
        <v>0</v>
      </c>
      <c r="E239" s="1" t="str">
        <f t="shared" si="3"/>
        <v/>
      </c>
    </row>
    <row r="240" spans="1:5" x14ac:dyDescent="0.25">
      <c r="A240" t="s">
        <v>464</v>
      </c>
      <c r="B240" t="s">
        <v>465</v>
      </c>
      <c r="D240" s="1">
        <f>COUNTIF(B240,Feladványok!#REF!)</f>
        <v>0</v>
      </c>
      <c r="E240" s="1" t="str">
        <f t="shared" si="3"/>
        <v/>
      </c>
    </row>
    <row r="241" spans="1:5" x14ac:dyDescent="0.25">
      <c r="A241" t="s">
        <v>466</v>
      </c>
      <c r="B241" t="s">
        <v>467</v>
      </c>
      <c r="D241" s="1">
        <f>COUNTIF(B241,Feladványok!#REF!)</f>
        <v>0</v>
      </c>
      <c r="E241" s="1" t="str">
        <f t="shared" si="3"/>
        <v/>
      </c>
    </row>
    <row r="242" spans="1:5" x14ac:dyDescent="0.25">
      <c r="A242" t="s">
        <v>468</v>
      </c>
      <c r="B242" t="s">
        <v>469</v>
      </c>
      <c r="D242" s="1">
        <f>COUNTIF(B242,Feladványok!#REF!)</f>
        <v>0</v>
      </c>
      <c r="E242" s="1" t="str">
        <f t="shared" si="3"/>
        <v/>
      </c>
    </row>
    <row r="243" spans="1:5" x14ac:dyDescent="0.25">
      <c r="A243" t="s">
        <v>470</v>
      </c>
      <c r="B243" t="s">
        <v>471</v>
      </c>
      <c r="D243" s="1">
        <f>COUNTIF(B243,Feladványok!#REF!)</f>
        <v>0</v>
      </c>
      <c r="E243" s="1" t="str">
        <f t="shared" si="3"/>
        <v/>
      </c>
    </row>
    <row r="244" spans="1:5" x14ac:dyDescent="0.25">
      <c r="A244" t="s">
        <v>472</v>
      </c>
      <c r="B244" t="s">
        <v>473</v>
      </c>
      <c r="D244" s="1">
        <f>COUNTIF(B244,Feladványok!#REF!)</f>
        <v>0</v>
      </c>
      <c r="E244" s="1" t="str">
        <f t="shared" si="3"/>
        <v/>
      </c>
    </row>
    <row r="245" spans="1:5" x14ac:dyDescent="0.25">
      <c r="A245" t="s">
        <v>474</v>
      </c>
      <c r="B245" t="s">
        <v>475</v>
      </c>
      <c r="D245" s="1">
        <f>COUNTIF(B245,Feladványok!#REF!)</f>
        <v>0</v>
      </c>
      <c r="E245" s="1" t="str">
        <f t="shared" si="3"/>
        <v/>
      </c>
    </row>
    <row r="246" spans="1:5" x14ac:dyDescent="0.25">
      <c r="A246" t="s">
        <v>476</v>
      </c>
      <c r="B246" t="s">
        <v>477</v>
      </c>
      <c r="D246" s="1">
        <f>COUNTIF(B246,Feladványok!#REF!)</f>
        <v>0</v>
      </c>
      <c r="E246" s="1" t="str">
        <f t="shared" si="3"/>
        <v/>
      </c>
    </row>
    <row r="247" spans="1:5" x14ac:dyDescent="0.25">
      <c r="A247" t="s">
        <v>478</v>
      </c>
      <c r="B247" t="s">
        <v>479</v>
      </c>
      <c r="D247" s="1">
        <f>COUNTIF(B247,Feladványok!#REF!)</f>
        <v>0</v>
      </c>
      <c r="E247" s="1" t="str">
        <f t="shared" si="3"/>
        <v/>
      </c>
    </row>
    <row r="248" spans="1:5" x14ac:dyDescent="0.25">
      <c r="A248" t="s">
        <v>480</v>
      </c>
      <c r="B248" t="s">
        <v>481</v>
      </c>
      <c r="D248" s="1">
        <f>COUNTIF(B248,Feladványok!#REF!)</f>
        <v>0</v>
      </c>
      <c r="E248" s="1" t="str">
        <f t="shared" si="3"/>
        <v/>
      </c>
    </row>
    <row r="249" spans="1:5" x14ac:dyDescent="0.25">
      <c r="A249" t="s">
        <v>482</v>
      </c>
      <c r="B249" t="s">
        <v>483</v>
      </c>
      <c r="D249" s="1">
        <f>COUNTIF(B249,Feladványok!#REF!)</f>
        <v>0</v>
      </c>
      <c r="E249" s="1" t="str">
        <f t="shared" si="3"/>
        <v/>
      </c>
    </row>
    <row r="250" spans="1:5" x14ac:dyDescent="0.25">
      <c r="A250" t="s">
        <v>484</v>
      </c>
      <c r="B250" t="s">
        <v>485</v>
      </c>
      <c r="D250" s="1">
        <f>COUNTIF(B250,Feladványok!#REF!)</f>
        <v>0</v>
      </c>
      <c r="E250" s="1" t="str">
        <f t="shared" si="3"/>
        <v/>
      </c>
    </row>
    <row r="251" spans="1:5" x14ac:dyDescent="0.25">
      <c r="A251" t="s">
        <v>486</v>
      </c>
      <c r="B251" t="s">
        <v>487</v>
      </c>
      <c r="D251" s="1">
        <f>COUNTIF(B251,Feladványok!#REF!)</f>
        <v>0</v>
      </c>
      <c r="E251" s="1" t="str">
        <f t="shared" si="3"/>
        <v/>
      </c>
    </row>
    <row r="252" spans="1:5" x14ac:dyDescent="0.25">
      <c r="A252" t="s">
        <v>488</v>
      </c>
      <c r="B252" t="s">
        <v>489</v>
      </c>
      <c r="D252" s="1">
        <f>COUNTIF(B252,Feladványok!#REF!)</f>
        <v>0</v>
      </c>
      <c r="E252" s="1" t="str">
        <f t="shared" si="3"/>
        <v/>
      </c>
    </row>
    <row r="253" spans="1:5" x14ac:dyDescent="0.25">
      <c r="A253" t="s">
        <v>490</v>
      </c>
      <c r="B253" t="s">
        <v>491</v>
      </c>
      <c r="D253" s="1">
        <f>COUNTIF(B253,Feladványok!#REF!)</f>
        <v>0</v>
      </c>
      <c r="E253" s="1" t="str">
        <f t="shared" si="3"/>
        <v/>
      </c>
    </row>
    <row r="254" spans="1:5" x14ac:dyDescent="0.25">
      <c r="A254" t="s">
        <v>492</v>
      </c>
      <c r="B254" t="s">
        <v>493</v>
      </c>
      <c r="D254" s="1">
        <f>COUNTIF(B254,Feladványok!#REF!)</f>
        <v>0</v>
      </c>
      <c r="E254" s="1" t="str">
        <f t="shared" si="3"/>
        <v/>
      </c>
    </row>
    <row r="255" spans="1:5" x14ac:dyDescent="0.25">
      <c r="A255" t="s">
        <v>494</v>
      </c>
      <c r="B255" t="s">
        <v>495</v>
      </c>
      <c r="D255" s="1">
        <f>COUNTIF(B255,Feladványok!#REF!)</f>
        <v>0</v>
      </c>
      <c r="E255" s="1" t="str">
        <f t="shared" si="3"/>
        <v/>
      </c>
    </row>
    <row r="256" spans="1:5" x14ac:dyDescent="0.25">
      <c r="A256" t="s">
        <v>496</v>
      </c>
      <c r="B256" t="s">
        <v>497</v>
      </c>
      <c r="D256" s="1">
        <f>COUNTIF(B256,Feladványok!#REF!)</f>
        <v>0</v>
      </c>
      <c r="E256" s="1" t="str">
        <f t="shared" si="3"/>
        <v/>
      </c>
    </row>
    <row r="257" spans="1:5" x14ac:dyDescent="0.25">
      <c r="A257" t="s">
        <v>498</v>
      </c>
      <c r="B257" t="s">
        <v>499</v>
      </c>
      <c r="D257" s="1">
        <f>COUNTIF(B257,Feladványok!#REF!)</f>
        <v>0</v>
      </c>
      <c r="E257" s="1" t="str">
        <f t="shared" si="3"/>
        <v/>
      </c>
    </row>
    <row r="258" spans="1:5" x14ac:dyDescent="0.25">
      <c r="A258" t="s">
        <v>500</v>
      </c>
      <c r="B258" t="s">
        <v>501</v>
      </c>
      <c r="D258" s="1">
        <f>COUNTIF(B258,Feladványok!#REF!)</f>
        <v>0</v>
      </c>
      <c r="E258" s="1" t="str">
        <f t="shared" ref="E258:E321" si="4">IF(D258&gt;0,A258,"")</f>
        <v/>
      </c>
    </row>
    <row r="259" spans="1:5" x14ac:dyDescent="0.25">
      <c r="A259" t="s">
        <v>502</v>
      </c>
      <c r="B259" t="s">
        <v>503</v>
      </c>
      <c r="D259" s="1">
        <f>COUNTIF(B259,Feladványok!#REF!)</f>
        <v>0</v>
      </c>
      <c r="E259" s="1" t="str">
        <f t="shared" si="4"/>
        <v/>
      </c>
    </row>
    <row r="260" spans="1:5" x14ac:dyDescent="0.25">
      <c r="A260" t="s">
        <v>504</v>
      </c>
      <c r="B260" t="s">
        <v>449</v>
      </c>
      <c r="D260" s="1">
        <f>COUNTIF(B260,Feladványok!#REF!)</f>
        <v>0</v>
      </c>
      <c r="E260" s="1" t="str">
        <f t="shared" si="4"/>
        <v/>
      </c>
    </row>
    <row r="261" spans="1:5" x14ac:dyDescent="0.25">
      <c r="A261" t="s">
        <v>505</v>
      </c>
      <c r="B261" t="s">
        <v>506</v>
      </c>
      <c r="D261" s="1">
        <f>COUNTIF(B261,Feladványok!#REF!)</f>
        <v>0</v>
      </c>
      <c r="E261" s="1" t="str">
        <f t="shared" si="4"/>
        <v/>
      </c>
    </row>
    <row r="262" spans="1:5" x14ac:dyDescent="0.25">
      <c r="A262" t="s">
        <v>507</v>
      </c>
      <c r="B262" t="s">
        <v>508</v>
      </c>
      <c r="D262" s="1">
        <f>COUNTIF(B262,Feladványok!#REF!)</f>
        <v>0</v>
      </c>
      <c r="E262" s="1" t="str">
        <f t="shared" si="4"/>
        <v/>
      </c>
    </row>
    <row r="263" spans="1:5" x14ac:dyDescent="0.25">
      <c r="A263" t="s">
        <v>509</v>
      </c>
      <c r="B263" t="s">
        <v>510</v>
      </c>
      <c r="D263" s="1">
        <f>COUNTIF(B263,Feladványok!#REF!)</f>
        <v>0</v>
      </c>
      <c r="E263" s="1" t="str">
        <f t="shared" si="4"/>
        <v/>
      </c>
    </row>
    <row r="264" spans="1:5" x14ac:dyDescent="0.25">
      <c r="A264" t="s">
        <v>511</v>
      </c>
      <c r="B264" t="s">
        <v>512</v>
      </c>
      <c r="D264" s="1">
        <f>COUNTIF(B264,Feladványok!#REF!)</f>
        <v>0</v>
      </c>
      <c r="E264" s="1" t="str">
        <f t="shared" si="4"/>
        <v/>
      </c>
    </row>
    <row r="265" spans="1:5" x14ac:dyDescent="0.25">
      <c r="A265" t="s">
        <v>513</v>
      </c>
      <c r="B265" t="s">
        <v>514</v>
      </c>
      <c r="D265" s="1">
        <f>COUNTIF(B265,Feladványok!#REF!)</f>
        <v>0</v>
      </c>
      <c r="E265" s="1" t="str">
        <f t="shared" si="4"/>
        <v/>
      </c>
    </row>
    <row r="266" spans="1:5" x14ac:dyDescent="0.25">
      <c r="A266" t="s">
        <v>515</v>
      </c>
      <c r="B266" t="s">
        <v>516</v>
      </c>
      <c r="D266" s="1">
        <f>COUNTIF(B266,Feladványok!#REF!)</f>
        <v>0</v>
      </c>
      <c r="E266" s="1" t="str">
        <f t="shared" si="4"/>
        <v/>
      </c>
    </row>
    <row r="267" spans="1:5" x14ac:dyDescent="0.25">
      <c r="A267" t="s">
        <v>517</v>
      </c>
      <c r="B267" t="s">
        <v>518</v>
      </c>
      <c r="D267" s="1">
        <f>COUNTIF(B267,Feladványok!#REF!)</f>
        <v>0</v>
      </c>
      <c r="E267" s="1" t="str">
        <f t="shared" si="4"/>
        <v/>
      </c>
    </row>
    <row r="268" spans="1:5" x14ac:dyDescent="0.25">
      <c r="A268" t="s">
        <v>519</v>
      </c>
      <c r="B268" t="s">
        <v>520</v>
      </c>
      <c r="D268" s="1">
        <f>COUNTIF(B268,Feladványok!#REF!)</f>
        <v>0</v>
      </c>
      <c r="E268" s="1" t="str">
        <f t="shared" si="4"/>
        <v/>
      </c>
    </row>
    <row r="269" spans="1:5" x14ac:dyDescent="0.25">
      <c r="A269" t="s">
        <v>521</v>
      </c>
      <c r="B269" t="s">
        <v>522</v>
      </c>
      <c r="D269" s="1">
        <f>COUNTIF(B269,Feladványok!#REF!)</f>
        <v>0</v>
      </c>
      <c r="E269" s="1" t="str">
        <f t="shared" si="4"/>
        <v/>
      </c>
    </row>
    <row r="270" spans="1:5" x14ac:dyDescent="0.25">
      <c r="A270" t="s">
        <v>523</v>
      </c>
      <c r="B270" t="s">
        <v>524</v>
      </c>
      <c r="D270" s="1">
        <f>COUNTIF(B270,Feladványok!#REF!)</f>
        <v>0</v>
      </c>
      <c r="E270" s="1" t="str">
        <f t="shared" si="4"/>
        <v/>
      </c>
    </row>
    <row r="271" spans="1:5" x14ac:dyDescent="0.25">
      <c r="A271" t="s">
        <v>525</v>
      </c>
      <c r="B271" t="s">
        <v>526</v>
      </c>
      <c r="D271" s="1">
        <f>COUNTIF(B271,Feladványok!#REF!)</f>
        <v>0</v>
      </c>
      <c r="E271" s="1" t="str">
        <f t="shared" si="4"/>
        <v/>
      </c>
    </row>
    <row r="272" spans="1:5" x14ac:dyDescent="0.25">
      <c r="A272" t="s">
        <v>527</v>
      </c>
      <c r="B272" t="s">
        <v>528</v>
      </c>
      <c r="D272" s="1">
        <f>COUNTIF(B272,Feladványok!#REF!)</f>
        <v>0</v>
      </c>
      <c r="E272" s="1" t="str">
        <f t="shared" si="4"/>
        <v/>
      </c>
    </row>
    <row r="273" spans="1:5" x14ac:dyDescent="0.25">
      <c r="A273" t="s">
        <v>529</v>
      </c>
      <c r="B273" t="s">
        <v>530</v>
      </c>
      <c r="D273" s="1">
        <f>COUNTIF(B273,Feladványok!#REF!)</f>
        <v>0</v>
      </c>
      <c r="E273" s="1" t="str">
        <f t="shared" si="4"/>
        <v/>
      </c>
    </row>
    <row r="274" spans="1:5" x14ac:dyDescent="0.25">
      <c r="A274" t="s">
        <v>531</v>
      </c>
      <c r="B274" t="s">
        <v>532</v>
      </c>
      <c r="D274" s="1">
        <f>COUNTIF(B274,Feladványok!#REF!)</f>
        <v>0</v>
      </c>
      <c r="E274" s="1" t="str">
        <f t="shared" si="4"/>
        <v/>
      </c>
    </row>
    <row r="275" spans="1:5" x14ac:dyDescent="0.25">
      <c r="A275" t="s">
        <v>533</v>
      </c>
      <c r="B275" t="s">
        <v>534</v>
      </c>
      <c r="D275" s="1">
        <f>COUNTIF(B275,Feladványok!#REF!)</f>
        <v>0</v>
      </c>
      <c r="E275" s="1" t="str">
        <f t="shared" si="4"/>
        <v/>
      </c>
    </row>
    <row r="276" spans="1:5" x14ac:dyDescent="0.25">
      <c r="A276" t="s">
        <v>535</v>
      </c>
      <c r="B276" t="s">
        <v>536</v>
      </c>
      <c r="D276" s="1">
        <f>COUNTIF(B276,Feladványok!#REF!)</f>
        <v>0</v>
      </c>
      <c r="E276" s="1" t="str">
        <f t="shared" si="4"/>
        <v/>
      </c>
    </row>
    <row r="277" spans="1:5" x14ac:dyDescent="0.25">
      <c r="A277" t="s">
        <v>537</v>
      </c>
      <c r="B277" t="s">
        <v>260</v>
      </c>
      <c r="D277" s="1">
        <f>COUNTIF(B277,Feladványok!#REF!)</f>
        <v>0</v>
      </c>
      <c r="E277" s="1" t="str">
        <f t="shared" si="4"/>
        <v/>
      </c>
    </row>
    <row r="278" spans="1:5" x14ac:dyDescent="0.25">
      <c r="A278" t="s">
        <v>538</v>
      </c>
      <c r="B278" t="s">
        <v>539</v>
      </c>
      <c r="D278" s="1">
        <f>COUNTIF(B278,Feladványok!#REF!)</f>
        <v>0</v>
      </c>
      <c r="E278" s="1" t="str">
        <f t="shared" si="4"/>
        <v/>
      </c>
    </row>
    <row r="279" spans="1:5" x14ac:dyDescent="0.25">
      <c r="A279" t="s">
        <v>718</v>
      </c>
      <c r="B279" t="s">
        <v>715</v>
      </c>
      <c r="D279" s="1">
        <f>COUNTIF(B279,Feladványok!#REF!)</f>
        <v>0</v>
      </c>
      <c r="E279" s="1" t="str">
        <f t="shared" si="4"/>
        <v/>
      </c>
    </row>
    <row r="280" spans="1:5" x14ac:dyDescent="0.25">
      <c r="A280" t="s">
        <v>540</v>
      </c>
      <c r="B280" t="s">
        <v>541</v>
      </c>
      <c r="D280" s="1">
        <f>COUNTIF(B280,Feladványok!#REF!)</f>
        <v>0</v>
      </c>
      <c r="E280" s="1" t="str">
        <f t="shared" si="4"/>
        <v/>
      </c>
    </row>
    <row r="281" spans="1:5" x14ac:dyDescent="0.25">
      <c r="A281" t="s">
        <v>542</v>
      </c>
      <c r="B281" t="s">
        <v>543</v>
      </c>
      <c r="D281" s="1">
        <f>COUNTIF(B281,Feladványok!#REF!)</f>
        <v>0</v>
      </c>
      <c r="E281" s="1" t="str">
        <f t="shared" si="4"/>
        <v/>
      </c>
    </row>
    <row r="282" spans="1:5" x14ac:dyDescent="0.25">
      <c r="A282" t="s">
        <v>544</v>
      </c>
      <c r="B282" t="s">
        <v>545</v>
      </c>
      <c r="D282" s="1">
        <f>COUNTIF(B282,Feladványok!#REF!)</f>
        <v>0</v>
      </c>
      <c r="E282" s="1" t="str">
        <f t="shared" si="4"/>
        <v/>
      </c>
    </row>
    <row r="283" spans="1:5" x14ac:dyDescent="0.25">
      <c r="A283" t="s">
        <v>546</v>
      </c>
      <c r="B283" t="s">
        <v>265</v>
      </c>
      <c r="D283" s="1">
        <f>COUNTIF(B283,Feladványok!#REF!)</f>
        <v>0</v>
      </c>
      <c r="E283" s="1" t="str">
        <f t="shared" si="4"/>
        <v/>
      </c>
    </row>
    <row r="284" spans="1:5" x14ac:dyDescent="0.25">
      <c r="A284" t="s">
        <v>547</v>
      </c>
      <c r="B284" t="s">
        <v>548</v>
      </c>
      <c r="D284" s="1">
        <f>COUNTIF(B284,Feladványok!#REF!)</f>
        <v>0</v>
      </c>
      <c r="E284" s="1" t="str">
        <f t="shared" si="4"/>
        <v/>
      </c>
    </row>
    <row r="285" spans="1:5" x14ac:dyDescent="0.25">
      <c r="A285" t="s">
        <v>549</v>
      </c>
      <c r="B285" t="s">
        <v>550</v>
      </c>
      <c r="D285" s="1">
        <f>COUNTIF(B285,Feladványok!#REF!)</f>
        <v>0</v>
      </c>
      <c r="E285" s="1" t="str">
        <f t="shared" si="4"/>
        <v/>
      </c>
    </row>
    <row r="286" spans="1:5" x14ac:dyDescent="0.25">
      <c r="A286" t="s">
        <v>551</v>
      </c>
      <c r="B286" t="s">
        <v>382</v>
      </c>
      <c r="D286" s="1">
        <f>COUNTIF(B286,Feladványok!#REF!)</f>
        <v>0</v>
      </c>
      <c r="E286" s="1" t="str">
        <f t="shared" si="4"/>
        <v/>
      </c>
    </row>
    <row r="287" spans="1:5" x14ac:dyDescent="0.25">
      <c r="A287" t="s">
        <v>552</v>
      </c>
      <c r="B287" t="s">
        <v>553</v>
      </c>
      <c r="D287" s="1">
        <f>COUNTIF(B287,Feladványok!#REF!)</f>
        <v>0</v>
      </c>
      <c r="E287" s="1" t="str">
        <f t="shared" si="4"/>
        <v/>
      </c>
    </row>
    <row r="288" spans="1:5" x14ac:dyDescent="0.25">
      <c r="A288" t="s">
        <v>554</v>
      </c>
      <c r="B288" t="s">
        <v>202</v>
      </c>
      <c r="D288" s="1">
        <f>COUNTIF(B288,Feladványok!#REF!)</f>
        <v>0</v>
      </c>
      <c r="E288" s="1" t="str">
        <f t="shared" si="4"/>
        <v/>
      </c>
    </row>
    <row r="289" spans="1:5" x14ac:dyDescent="0.25">
      <c r="A289" t="s">
        <v>555</v>
      </c>
      <c r="B289" t="s">
        <v>556</v>
      </c>
      <c r="D289" s="1">
        <f>COUNTIF(B289,Feladványok!#REF!)</f>
        <v>0</v>
      </c>
      <c r="E289" s="1" t="str">
        <f t="shared" si="4"/>
        <v/>
      </c>
    </row>
    <row r="290" spans="1:5" x14ac:dyDescent="0.25">
      <c r="A290" t="s">
        <v>557</v>
      </c>
      <c r="B290" t="s">
        <v>558</v>
      </c>
      <c r="D290" s="1">
        <f>COUNTIF(B290,Feladványok!#REF!)</f>
        <v>0</v>
      </c>
      <c r="E290" s="1" t="str">
        <f t="shared" si="4"/>
        <v/>
      </c>
    </row>
    <row r="291" spans="1:5" x14ac:dyDescent="0.25">
      <c r="A291" t="s">
        <v>559</v>
      </c>
      <c r="B291" t="s">
        <v>560</v>
      </c>
      <c r="D291" s="1">
        <f>COUNTIF(B291,Feladványok!#REF!)</f>
        <v>0</v>
      </c>
      <c r="E291" s="1" t="str">
        <f t="shared" si="4"/>
        <v/>
      </c>
    </row>
    <row r="292" spans="1:5" x14ac:dyDescent="0.25">
      <c r="A292" t="s">
        <v>561</v>
      </c>
      <c r="B292" t="s">
        <v>562</v>
      </c>
      <c r="D292" s="1">
        <f>COUNTIF(B292,Feladványok!#REF!)</f>
        <v>0</v>
      </c>
      <c r="E292" s="1" t="str">
        <f t="shared" si="4"/>
        <v/>
      </c>
    </row>
    <row r="293" spans="1:5" x14ac:dyDescent="0.25">
      <c r="A293" t="s">
        <v>563</v>
      </c>
      <c r="B293" t="s">
        <v>564</v>
      </c>
      <c r="D293" s="1">
        <f>COUNTIF(B293,Feladványok!#REF!)</f>
        <v>0</v>
      </c>
      <c r="E293" s="1" t="str">
        <f t="shared" si="4"/>
        <v/>
      </c>
    </row>
    <row r="294" spans="1:5" x14ac:dyDescent="0.25">
      <c r="A294" t="s">
        <v>565</v>
      </c>
      <c r="B294" t="s">
        <v>566</v>
      </c>
      <c r="D294" s="1">
        <f>COUNTIF(B294,Feladványok!#REF!)</f>
        <v>0</v>
      </c>
      <c r="E294" s="1" t="str">
        <f t="shared" si="4"/>
        <v/>
      </c>
    </row>
    <row r="295" spans="1:5" x14ac:dyDescent="0.25">
      <c r="A295" t="s">
        <v>567</v>
      </c>
      <c r="B295" t="s">
        <v>568</v>
      </c>
      <c r="D295" s="1">
        <f>COUNTIF(B295,Feladványok!#REF!)</f>
        <v>0</v>
      </c>
      <c r="E295" s="1" t="str">
        <f t="shared" si="4"/>
        <v/>
      </c>
    </row>
    <row r="296" spans="1:5" x14ac:dyDescent="0.25">
      <c r="A296" t="s">
        <v>569</v>
      </c>
      <c r="B296" t="s">
        <v>570</v>
      </c>
      <c r="D296" s="1">
        <f>COUNTIF(B296,Feladványok!#REF!)</f>
        <v>0</v>
      </c>
      <c r="E296" s="1" t="str">
        <f t="shared" si="4"/>
        <v/>
      </c>
    </row>
    <row r="297" spans="1:5" x14ac:dyDescent="0.25">
      <c r="A297" t="s">
        <v>571</v>
      </c>
      <c r="B297" t="s">
        <v>572</v>
      </c>
      <c r="D297" s="1">
        <f>COUNTIF(B297,Feladványok!#REF!)</f>
        <v>0</v>
      </c>
      <c r="E297" s="1" t="str">
        <f t="shared" si="4"/>
        <v/>
      </c>
    </row>
    <row r="298" spans="1:5" x14ac:dyDescent="0.25">
      <c r="A298" t="s">
        <v>573</v>
      </c>
      <c r="B298" t="s">
        <v>574</v>
      </c>
      <c r="D298" s="1">
        <f>COUNTIF(B298,Feladványok!#REF!)</f>
        <v>0</v>
      </c>
      <c r="E298" s="1" t="str">
        <f t="shared" si="4"/>
        <v/>
      </c>
    </row>
    <row r="299" spans="1:5" x14ac:dyDescent="0.25">
      <c r="A299" t="s">
        <v>575</v>
      </c>
      <c r="B299" t="s">
        <v>576</v>
      </c>
      <c r="D299" s="1">
        <f>COUNTIF(B299,Feladványok!#REF!)</f>
        <v>0</v>
      </c>
      <c r="E299" s="1" t="str">
        <f t="shared" si="4"/>
        <v/>
      </c>
    </row>
    <row r="300" spans="1:5" x14ac:dyDescent="0.25">
      <c r="A300" t="s">
        <v>577</v>
      </c>
      <c r="B300" t="s">
        <v>578</v>
      </c>
      <c r="D300" s="1">
        <f>COUNTIF(B300,Feladványok!#REF!)</f>
        <v>0</v>
      </c>
      <c r="E300" s="1" t="str">
        <f t="shared" si="4"/>
        <v/>
      </c>
    </row>
    <row r="301" spans="1:5" x14ac:dyDescent="0.25">
      <c r="A301" t="s">
        <v>579</v>
      </c>
      <c r="B301" t="s">
        <v>580</v>
      </c>
      <c r="D301" s="1">
        <f>COUNTIF(B301,Feladványok!#REF!)</f>
        <v>0</v>
      </c>
      <c r="E301" s="1" t="str">
        <f t="shared" si="4"/>
        <v/>
      </c>
    </row>
    <row r="302" spans="1:5" x14ac:dyDescent="0.25">
      <c r="A302" t="s">
        <v>581</v>
      </c>
      <c r="B302" t="s">
        <v>582</v>
      </c>
      <c r="D302" s="1">
        <f>COUNTIF(B302,Feladványok!#REF!)</f>
        <v>0</v>
      </c>
      <c r="E302" s="1" t="str">
        <f t="shared" si="4"/>
        <v/>
      </c>
    </row>
    <row r="303" spans="1:5" x14ac:dyDescent="0.25">
      <c r="A303" t="s">
        <v>583</v>
      </c>
      <c r="B303" t="s">
        <v>584</v>
      </c>
      <c r="D303" s="1">
        <f>COUNTIF(B303,Feladványok!#REF!)</f>
        <v>0</v>
      </c>
      <c r="E303" s="1" t="str">
        <f t="shared" si="4"/>
        <v/>
      </c>
    </row>
    <row r="304" spans="1:5" x14ac:dyDescent="0.25">
      <c r="A304" t="s">
        <v>585</v>
      </c>
      <c r="B304" t="s">
        <v>586</v>
      </c>
      <c r="D304" s="1">
        <f>COUNTIF(B304,Feladványok!#REF!)</f>
        <v>0</v>
      </c>
      <c r="E304" s="1" t="str">
        <f t="shared" si="4"/>
        <v/>
      </c>
    </row>
    <row r="305" spans="1:5" x14ac:dyDescent="0.25">
      <c r="A305" t="s">
        <v>587</v>
      </c>
      <c r="B305" t="s">
        <v>588</v>
      </c>
      <c r="D305" s="1">
        <f>COUNTIF(B305,Feladványok!#REF!)</f>
        <v>0</v>
      </c>
      <c r="E305" s="1" t="str">
        <f t="shared" si="4"/>
        <v/>
      </c>
    </row>
    <row r="306" spans="1:5" x14ac:dyDescent="0.25">
      <c r="A306" t="s">
        <v>589</v>
      </c>
      <c r="B306" t="s">
        <v>590</v>
      </c>
      <c r="D306" s="1">
        <f>COUNTIF(B306,Feladványok!#REF!)</f>
        <v>0</v>
      </c>
      <c r="E306" s="1" t="str">
        <f t="shared" si="4"/>
        <v/>
      </c>
    </row>
    <row r="307" spans="1:5" x14ac:dyDescent="0.25">
      <c r="A307" t="s">
        <v>591</v>
      </c>
      <c r="B307" t="s">
        <v>592</v>
      </c>
      <c r="D307" s="1">
        <f>COUNTIF(B307,Feladványok!#REF!)</f>
        <v>0</v>
      </c>
      <c r="E307" s="1" t="str">
        <f t="shared" si="4"/>
        <v/>
      </c>
    </row>
    <row r="308" spans="1:5" x14ac:dyDescent="0.25">
      <c r="A308" t="s">
        <v>593</v>
      </c>
      <c r="B308" t="s">
        <v>594</v>
      </c>
      <c r="D308" s="1">
        <f>COUNTIF(B308,Feladványok!#REF!)</f>
        <v>0</v>
      </c>
      <c r="E308" s="1" t="str">
        <f t="shared" si="4"/>
        <v/>
      </c>
    </row>
    <row r="309" spans="1:5" x14ac:dyDescent="0.25">
      <c r="A309" t="s">
        <v>595</v>
      </c>
      <c r="B309" t="s">
        <v>596</v>
      </c>
      <c r="D309" s="1">
        <f>COUNTIF(B309,Feladványok!#REF!)</f>
        <v>0</v>
      </c>
      <c r="E309" s="1" t="str">
        <f t="shared" si="4"/>
        <v/>
      </c>
    </row>
    <row r="310" spans="1:5" x14ac:dyDescent="0.25">
      <c r="A310" t="s">
        <v>597</v>
      </c>
      <c r="B310" t="s">
        <v>598</v>
      </c>
      <c r="D310" s="1">
        <f>COUNTIF(B310,Feladványok!#REF!)</f>
        <v>0</v>
      </c>
      <c r="E310" s="1" t="str">
        <f t="shared" si="4"/>
        <v/>
      </c>
    </row>
    <row r="311" spans="1:5" x14ac:dyDescent="0.25">
      <c r="A311" t="s">
        <v>599</v>
      </c>
      <c r="B311" t="s">
        <v>600</v>
      </c>
      <c r="D311" s="1">
        <f>COUNTIF(B311,Feladványok!#REF!)</f>
        <v>0</v>
      </c>
      <c r="E311" s="1" t="str">
        <f t="shared" si="4"/>
        <v/>
      </c>
    </row>
    <row r="312" spans="1:5" x14ac:dyDescent="0.25">
      <c r="A312" t="s">
        <v>601</v>
      </c>
      <c r="B312" t="s">
        <v>602</v>
      </c>
      <c r="D312" s="1">
        <f>COUNTIF(B312,Feladványok!#REF!)</f>
        <v>0</v>
      </c>
      <c r="E312" s="1" t="str">
        <f t="shared" si="4"/>
        <v/>
      </c>
    </row>
    <row r="313" spans="1:5" x14ac:dyDescent="0.25">
      <c r="A313" t="s">
        <v>603</v>
      </c>
      <c r="B313" t="s">
        <v>604</v>
      </c>
      <c r="D313" s="1">
        <f>COUNTIF(B313,Feladványok!#REF!)</f>
        <v>0</v>
      </c>
      <c r="E313" s="1" t="str">
        <f t="shared" si="4"/>
        <v/>
      </c>
    </row>
    <row r="314" spans="1:5" x14ac:dyDescent="0.25">
      <c r="A314" t="s">
        <v>605</v>
      </c>
      <c r="B314" t="s">
        <v>606</v>
      </c>
      <c r="D314" s="1">
        <f>COUNTIF(B314,Feladványok!#REF!)</f>
        <v>0</v>
      </c>
      <c r="E314" s="1" t="str">
        <f t="shared" si="4"/>
        <v/>
      </c>
    </row>
    <row r="315" spans="1:5" x14ac:dyDescent="0.25">
      <c r="A315" t="s">
        <v>607</v>
      </c>
      <c r="B315" t="s">
        <v>608</v>
      </c>
      <c r="D315" s="1">
        <f>COUNTIF(B315,Feladványok!#REF!)</f>
        <v>0</v>
      </c>
      <c r="E315" s="1" t="str">
        <f t="shared" si="4"/>
        <v/>
      </c>
    </row>
    <row r="316" spans="1:5" x14ac:dyDescent="0.25">
      <c r="A316" t="s">
        <v>609</v>
      </c>
      <c r="B316" t="s">
        <v>610</v>
      </c>
      <c r="D316" s="1">
        <f>COUNTIF(B316,Feladványok!#REF!)</f>
        <v>0</v>
      </c>
      <c r="E316" s="1" t="str">
        <f t="shared" si="4"/>
        <v/>
      </c>
    </row>
    <row r="317" spans="1:5" x14ac:dyDescent="0.25">
      <c r="A317" t="s">
        <v>611</v>
      </c>
      <c r="B317" t="s">
        <v>612</v>
      </c>
      <c r="D317" s="1">
        <f>COUNTIF(B317,Feladványok!#REF!)</f>
        <v>0</v>
      </c>
      <c r="E317" s="1" t="str">
        <f t="shared" si="4"/>
        <v/>
      </c>
    </row>
    <row r="318" spans="1:5" x14ac:dyDescent="0.25">
      <c r="A318" t="s">
        <v>613</v>
      </c>
      <c r="B318" t="s">
        <v>614</v>
      </c>
      <c r="D318" s="1">
        <f>COUNTIF(B318,Feladványok!#REF!)</f>
        <v>0</v>
      </c>
      <c r="E318" s="1" t="str">
        <f t="shared" si="4"/>
        <v/>
      </c>
    </row>
    <row r="319" spans="1:5" x14ac:dyDescent="0.25">
      <c r="A319" t="s">
        <v>615</v>
      </c>
      <c r="B319" t="s">
        <v>226</v>
      </c>
      <c r="D319" s="1">
        <f>COUNTIF(B319,Feladványok!#REF!)</f>
        <v>0</v>
      </c>
      <c r="E319" s="1" t="str">
        <f t="shared" si="4"/>
        <v/>
      </c>
    </row>
    <row r="320" spans="1:5" x14ac:dyDescent="0.25">
      <c r="A320" t="s">
        <v>616</v>
      </c>
      <c r="B320" t="s">
        <v>1</v>
      </c>
      <c r="D320" s="1">
        <f>COUNTIF(B320,Feladványok!#REF!)</f>
        <v>0</v>
      </c>
      <c r="E320" s="1" t="str">
        <f t="shared" si="4"/>
        <v/>
      </c>
    </row>
    <row r="321" spans="1:5" x14ac:dyDescent="0.25">
      <c r="A321" t="s">
        <v>617</v>
      </c>
      <c r="B321" t="s">
        <v>618</v>
      </c>
      <c r="D321" s="1">
        <f>COUNTIF(B321,Feladványok!#REF!)</f>
        <v>0</v>
      </c>
      <c r="E321" s="1" t="str">
        <f t="shared" si="4"/>
        <v/>
      </c>
    </row>
    <row r="322" spans="1:5" x14ac:dyDescent="0.25">
      <c r="A322" t="s">
        <v>619</v>
      </c>
      <c r="B322" t="s">
        <v>620</v>
      </c>
      <c r="D322" s="1">
        <f>COUNTIF(B322,Feladványok!#REF!)</f>
        <v>0</v>
      </c>
      <c r="E322" s="1" t="str">
        <f t="shared" ref="E322:E372" si="5">IF(D322&gt;0,A322,"")</f>
        <v/>
      </c>
    </row>
    <row r="323" spans="1:5" x14ac:dyDescent="0.25">
      <c r="A323" t="s">
        <v>621</v>
      </c>
      <c r="B323" t="s">
        <v>622</v>
      </c>
      <c r="D323" s="1">
        <f>COUNTIF(B323,Feladványok!#REF!)</f>
        <v>0</v>
      </c>
      <c r="E323" s="1" t="str">
        <f t="shared" si="5"/>
        <v/>
      </c>
    </row>
    <row r="324" spans="1:5" x14ac:dyDescent="0.25">
      <c r="A324" t="s">
        <v>623</v>
      </c>
      <c r="B324" t="s">
        <v>624</v>
      </c>
      <c r="D324" s="1">
        <f>COUNTIF(B324,Feladványok!#REF!)</f>
        <v>0</v>
      </c>
      <c r="E324" s="1" t="str">
        <f t="shared" si="5"/>
        <v/>
      </c>
    </row>
    <row r="325" spans="1:5" x14ac:dyDescent="0.25">
      <c r="A325" t="s">
        <v>625</v>
      </c>
      <c r="B325" t="s">
        <v>626</v>
      </c>
      <c r="D325" s="1">
        <f>COUNTIF(B325,Feladványok!#REF!)</f>
        <v>0</v>
      </c>
      <c r="E325" s="1" t="str">
        <f t="shared" si="5"/>
        <v/>
      </c>
    </row>
    <row r="326" spans="1:5" x14ac:dyDescent="0.25">
      <c r="A326" t="s">
        <v>627</v>
      </c>
      <c r="B326" t="s">
        <v>628</v>
      </c>
      <c r="D326" s="1">
        <f>COUNTIF(B326,Feladványok!#REF!)</f>
        <v>0</v>
      </c>
      <c r="E326" s="1" t="str">
        <f t="shared" si="5"/>
        <v/>
      </c>
    </row>
    <row r="327" spans="1:5" x14ac:dyDescent="0.25">
      <c r="A327" t="s">
        <v>629</v>
      </c>
      <c r="B327" t="s">
        <v>630</v>
      </c>
      <c r="D327" s="1">
        <f>COUNTIF(B327,Feladványok!#REF!)</f>
        <v>0</v>
      </c>
      <c r="E327" s="1" t="str">
        <f t="shared" si="5"/>
        <v/>
      </c>
    </row>
    <row r="328" spans="1:5" x14ac:dyDescent="0.25">
      <c r="A328" t="s">
        <v>631</v>
      </c>
      <c r="B328" t="s">
        <v>388</v>
      </c>
      <c r="D328" s="1">
        <f>COUNTIF(B328,Feladványok!#REF!)</f>
        <v>0</v>
      </c>
      <c r="E328" s="1" t="str">
        <f t="shared" si="5"/>
        <v/>
      </c>
    </row>
    <row r="329" spans="1:5" x14ac:dyDescent="0.25">
      <c r="A329" t="s">
        <v>632</v>
      </c>
      <c r="B329" t="s">
        <v>633</v>
      </c>
      <c r="D329" s="1">
        <f>COUNTIF(B329,Feladványok!#REF!)</f>
        <v>0</v>
      </c>
      <c r="E329" s="1" t="str">
        <f t="shared" si="5"/>
        <v/>
      </c>
    </row>
    <row r="330" spans="1:5" x14ac:dyDescent="0.25">
      <c r="A330" t="s">
        <v>634</v>
      </c>
      <c r="B330" t="s">
        <v>635</v>
      </c>
      <c r="D330" s="1">
        <f>COUNTIF(B330,Feladványok!#REF!)</f>
        <v>0</v>
      </c>
      <c r="E330" s="1" t="str">
        <f t="shared" si="5"/>
        <v/>
      </c>
    </row>
    <row r="331" spans="1:5" x14ac:dyDescent="0.25">
      <c r="A331" t="s">
        <v>636</v>
      </c>
      <c r="B331" t="s">
        <v>637</v>
      </c>
      <c r="D331" s="1">
        <f>COUNTIF(B331,Feladványok!#REF!)</f>
        <v>0</v>
      </c>
      <c r="E331" s="1" t="str">
        <f t="shared" si="5"/>
        <v/>
      </c>
    </row>
    <row r="332" spans="1:5" x14ac:dyDescent="0.25">
      <c r="A332" t="s">
        <v>638</v>
      </c>
      <c r="B332" t="s">
        <v>639</v>
      </c>
      <c r="D332" s="1">
        <f>COUNTIF(B332,Feladványok!#REF!)</f>
        <v>0</v>
      </c>
      <c r="E332" s="1" t="str">
        <f t="shared" si="5"/>
        <v/>
      </c>
    </row>
    <row r="333" spans="1:5" x14ac:dyDescent="0.25">
      <c r="A333" t="s">
        <v>640</v>
      </c>
      <c r="B333" t="s">
        <v>641</v>
      </c>
      <c r="D333" s="1">
        <f>COUNTIF(B333,Feladványok!#REF!)</f>
        <v>0</v>
      </c>
      <c r="E333" s="1" t="str">
        <f t="shared" si="5"/>
        <v/>
      </c>
    </row>
    <row r="334" spans="1:5" x14ac:dyDescent="0.25">
      <c r="A334" t="s">
        <v>642</v>
      </c>
      <c r="B334" t="s">
        <v>224</v>
      </c>
      <c r="D334" s="1">
        <f>COUNTIF(B334,Feladványok!#REF!)</f>
        <v>0</v>
      </c>
      <c r="E334" s="1" t="str">
        <f t="shared" si="5"/>
        <v/>
      </c>
    </row>
    <row r="335" spans="1:5" x14ac:dyDescent="0.25">
      <c r="A335" t="s">
        <v>643</v>
      </c>
      <c r="B335" t="s">
        <v>644</v>
      </c>
      <c r="D335" s="1">
        <f>COUNTIF(B335,Feladványok!#REF!)</f>
        <v>0</v>
      </c>
      <c r="E335" s="1" t="str">
        <f t="shared" si="5"/>
        <v/>
      </c>
    </row>
    <row r="336" spans="1:5" x14ac:dyDescent="0.25">
      <c r="A336" t="s">
        <v>645</v>
      </c>
      <c r="B336" t="s">
        <v>646</v>
      </c>
      <c r="D336" s="1">
        <f>COUNTIF(B336,Feladványok!#REF!)</f>
        <v>0</v>
      </c>
      <c r="E336" s="1" t="str">
        <f t="shared" si="5"/>
        <v/>
      </c>
    </row>
    <row r="337" spans="1:5" x14ac:dyDescent="0.25">
      <c r="A337" t="s">
        <v>647</v>
      </c>
      <c r="B337" t="s">
        <v>648</v>
      </c>
      <c r="D337" s="1">
        <f>COUNTIF(B337,Feladványok!#REF!)</f>
        <v>0</v>
      </c>
      <c r="E337" s="1" t="str">
        <f t="shared" si="5"/>
        <v/>
      </c>
    </row>
    <row r="338" spans="1:5" x14ac:dyDescent="0.25">
      <c r="A338" t="s">
        <v>649</v>
      </c>
      <c r="B338" t="s">
        <v>650</v>
      </c>
      <c r="D338" s="1">
        <f>COUNTIF(B338,Feladványok!#REF!)</f>
        <v>0</v>
      </c>
      <c r="E338" s="1" t="str">
        <f t="shared" si="5"/>
        <v/>
      </c>
    </row>
    <row r="339" spans="1:5" x14ac:dyDescent="0.25">
      <c r="A339" t="s">
        <v>651</v>
      </c>
      <c r="B339" t="s">
        <v>652</v>
      </c>
      <c r="D339" s="1">
        <f>COUNTIF(B339,Feladványok!#REF!)</f>
        <v>0</v>
      </c>
      <c r="E339" s="1" t="str">
        <f t="shared" si="5"/>
        <v/>
      </c>
    </row>
    <row r="340" spans="1:5" x14ac:dyDescent="0.25">
      <c r="A340" t="s">
        <v>653</v>
      </c>
      <c r="B340" t="s">
        <v>654</v>
      </c>
      <c r="D340" s="1">
        <f>COUNTIF(B340,Feladványok!#REF!)</f>
        <v>0</v>
      </c>
      <c r="E340" s="1" t="str">
        <f t="shared" si="5"/>
        <v/>
      </c>
    </row>
    <row r="341" spans="1:5" x14ac:dyDescent="0.25">
      <c r="A341" t="s">
        <v>719</v>
      </c>
      <c r="B341" t="s">
        <v>715</v>
      </c>
      <c r="D341" s="1">
        <f>COUNTIF(B341,Feladványok!#REF!)</f>
        <v>0</v>
      </c>
      <c r="E341" s="1" t="str">
        <f t="shared" si="5"/>
        <v/>
      </c>
    </row>
    <row r="342" spans="1:5" x14ac:dyDescent="0.25">
      <c r="A342" t="s">
        <v>655</v>
      </c>
      <c r="B342" t="s">
        <v>656</v>
      </c>
      <c r="D342" s="1">
        <f>COUNTIF(B342,Feladványok!#REF!)</f>
        <v>0</v>
      </c>
      <c r="E342" s="1" t="str">
        <f t="shared" si="5"/>
        <v/>
      </c>
    </row>
    <row r="343" spans="1:5" x14ac:dyDescent="0.25">
      <c r="A343" t="s">
        <v>657</v>
      </c>
      <c r="B343" t="s">
        <v>658</v>
      </c>
      <c r="D343" s="1">
        <f>COUNTIF(B343,Feladványok!#REF!)</f>
        <v>0</v>
      </c>
      <c r="E343" s="1" t="str">
        <f t="shared" si="5"/>
        <v/>
      </c>
    </row>
    <row r="344" spans="1:5" x14ac:dyDescent="0.25">
      <c r="A344" t="s">
        <v>659</v>
      </c>
      <c r="B344" t="s">
        <v>660</v>
      </c>
      <c r="D344" s="1">
        <f>COUNTIF(B344,Feladványok!#REF!)</f>
        <v>0</v>
      </c>
      <c r="E344" s="1" t="str">
        <f t="shared" si="5"/>
        <v/>
      </c>
    </row>
    <row r="345" spans="1:5" x14ac:dyDescent="0.25">
      <c r="A345" t="s">
        <v>661</v>
      </c>
      <c r="B345" t="s">
        <v>662</v>
      </c>
      <c r="D345" s="1">
        <f>COUNTIF(B345,Feladványok!#REF!)</f>
        <v>0</v>
      </c>
      <c r="E345" s="1" t="str">
        <f t="shared" si="5"/>
        <v/>
      </c>
    </row>
    <row r="346" spans="1:5" x14ac:dyDescent="0.25">
      <c r="A346" t="s">
        <v>663</v>
      </c>
      <c r="B346" t="s">
        <v>664</v>
      </c>
      <c r="D346" s="1">
        <f>COUNTIF(B346,Feladványok!#REF!)</f>
        <v>0</v>
      </c>
      <c r="E346" s="1" t="str">
        <f t="shared" si="5"/>
        <v/>
      </c>
    </row>
    <row r="347" spans="1:5" x14ac:dyDescent="0.25">
      <c r="A347" t="s">
        <v>665</v>
      </c>
      <c r="B347" t="s">
        <v>666</v>
      </c>
      <c r="D347" s="1">
        <f>COUNTIF(B347,Feladványok!#REF!)</f>
        <v>0</v>
      </c>
      <c r="E347" s="1" t="str">
        <f t="shared" si="5"/>
        <v/>
      </c>
    </row>
    <row r="348" spans="1:5" x14ac:dyDescent="0.25">
      <c r="A348" t="s">
        <v>667</v>
      </c>
      <c r="B348" t="s">
        <v>668</v>
      </c>
      <c r="D348" s="1">
        <f>COUNTIF(B348,Feladványok!#REF!)</f>
        <v>0</v>
      </c>
      <c r="E348" s="1" t="str">
        <f t="shared" si="5"/>
        <v/>
      </c>
    </row>
    <row r="349" spans="1:5" x14ac:dyDescent="0.25">
      <c r="A349" t="s">
        <v>669</v>
      </c>
      <c r="B349" t="s">
        <v>449</v>
      </c>
      <c r="D349" s="1">
        <f>COUNTIF(B349,Feladványok!#REF!)</f>
        <v>0</v>
      </c>
      <c r="E349" s="1" t="str">
        <f t="shared" si="5"/>
        <v/>
      </c>
    </row>
    <row r="350" spans="1:5" x14ac:dyDescent="0.25">
      <c r="A350" t="s">
        <v>670</v>
      </c>
      <c r="B350" t="s">
        <v>671</v>
      </c>
      <c r="D350" s="1">
        <f>COUNTIF(B350,Feladványok!#REF!)</f>
        <v>0</v>
      </c>
      <c r="E350" s="1" t="str">
        <f t="shared" si="5"/>
        <v/>
      </c>
    </row>
    <row r="351" spans="1:5" x14ac:dyDescent="0.25">
      <c r="A351" t="s">
        <v>672</v>
      </c>
      <c r="B351" t="s">
        <v>673</v>
      </c>
      <c r="D351" s="1">
        <f>COUNTIF(B351,Feladványok!#REF!)</f>
        <v>0</v>
      </c>
      <c r="E351" s="1" t="str">
        <f t="shared" si="5"/>
        <v/>
      </c>
    </row>
    <row r="352" spans="1:5" x14ac:dyDescent="0.25">
      <c r="A352" t="s">
        <v>674</v>
      </c>
      <c r="B352" t="s">
        <v>186</v>
      </c>
      <c r="D352" s="1">
        <f>COUNTIF(B352,Feladványok!#REF!)</f>
        <v>0</v>
      </c>
      <c r="E352" s="1" t="str">
        <f t="shared" si="5"/>
        <v/>
      </c>
    </row>
    <row r="353" spans="1:5" x14ac:dyDescent="0.25">
      <c r="A353" t="s">
        <v>675</v>
      </c>
      <c r="B353" t="s">
        <v>676</v>
      </c>
      <c r="D353" s="1">
        <f>COUNTIF(B353,Feladványok!#REF!)</f>
        <v>0</v>
      </c>
      <c r="E353" s="1" t="str">
        <f t="shared" si="5"/>
        <v/>
      </c>
    </row>
    <row r="354" spans="1:5" x14ac:dyDescent="0.25">
      <c r="A354" t="s">
        <v>677</v>
      </c>
      <c r="B354" t="s">
        <v>678</v>
      </c>
      <c r="D354" s="1">
        <f>COUNTIF(B354,Feladványok!#REF!)</f>
        <v>0</v>
      </c>
      <c r="E354" s="1" t="str">
        <f t="shared" si="5"/>
        <v/>
      </c>
    </row>
    <row r="355" spans="1:5" x14ac:dyDescent="0.25">
      <c r="A355" t="s">
        <v>679</v>
      </c>
      <c r="B355" t="s">
        <v>680</v>
      </c>
      <c r="D355" s="1">
        <f>COUNTIF(B355,Feladványok!#REF!)</f>
        <v>0</v>
      </c>
      <c r="E355" s="1" t="str">
        <f t="shared" si="5"/>
        <v/>
      </c>
    </row>
    <row r="356" spans="1:5" x14ac:dyDescent="0.25">
      <c r="A356" t="s">
        <v>681</v>
      </c>
      <c r="B356" t="s">
        <v>682</v>
      </c>
      <c r="D356" s="1">
        <f>COUNTIF(B356,Feladványok!#REF!)</f>
        <v>0</v>
      </c>
      <c r="E356" s="1" t="str">
        <f t="shared" si="5"/>
        <v/>
      </c>
    </row>
    <row r="357" spans="1:5" x14ac:dyDescent="0.25">
      <c r="A357" t="s">
        <v>683</v>
      </c>
      <c r="B357" t="s">
        <v>684</v>
      </c>
      <c r="D357" s="1">
        <f>COUNTIF(B357,Feladványok!#REF!)</f>
        <v>0</v>
      </c>
      <c r="E357" s="1" t="str">
        <f t="shared" si="5"/>
        <v/>
      </c>
    </row>
    <row r="358" spans="1:5" x14ac:dyDescent="0.25">
      <c r="A358" t="s">
        <v>685</v>
      </c>
      <c r="B358" t="s">
        <v>686</v>
      </c>
      <c r="D358" s="1">
        <f>COUNTIF(B358,Feladványok!#REF!)</f>
        <v>0</v>
      </c>
      <c r="E358" s="1" t="str">
        <f t="shared" si="5"/>
        <v/>
      </c>
    </row>
    <row r="359" spans="1:5" x14ac:dyDescent="0.25">
      <c r="A359" t="s">
        <v>687</v>
      </c>
      <c r="B359" t="s">
        <v>182</v>
      </c>
      <c r="D359" s="1">
        <f>COUNTIF(B359,Feladványok!#REF!)</f>
        <v>0</v>
      </c>
      <c r="E359" s="1" t="str">
        <f t="shared" si="5"/>
        <v/>
      </c>
    </row>
    <row r="360" spans="1:5" x14ac:dyDescent="0.25">
      <c r="A360" t="s">
        <v>688</v>
      </c>
      <c r="B360" t="s">
        <v>689</v>
      </c>
      <c r="D360" s="1">
        <f>COUNTIF(B360,Feladványok!#REF!)</f>
        <v>0</v>
      </c>
      <c r="E360" s="1" t="str">
        <f t="shared" si="5"/>
        <v/>
      </c>
    </row>
    <row r="361" spans="1:5" x14ac:dyDescent="0.25">
      <c r="A361" t="s">
        <v>690</v>
      </c>
      <c r="B361" t="s">
        <v>691</v>
      </c>
      <c r="D361" s="1">
        <f>COUNTIF(B361,Feladványok!#REF!)</f>
        <v>0</v>
      </c>
      <c r="E361" s="1" t="str">
        <f t="shared" si="5"/>
        <v/>
      </c>
    </row>
    <row r="362" spans="1:5" x14ac:dyDescent="0.25">
      <c r="A362" t="s">
        <v>692</v>
      </c>
      <c r="B362" t="s">
        <v>138</v>
      </c>
      <c r="D362" s="1">
        <f>COUNTIF(B362,Feladványok!#REF!)</f>
        <v>0</v>
      </c>
      <c r="E362" s="1" t="str">
        <f t="shared" si="5"/>
        <v/>
      </c>
    </row>
    <row r="363" spans="1:5" x14ac:dyDescent="0.25">
      <c r="A363" t="s">
        <v>693</v>
      </c>
      <c r="B363" t="s">
        <v>694</v>
      </c>
      <c r="D363" s="1">
        <f>COUNTIF(B363,Feladványok!#REF!)</f>
        <v>0</v>
      </c>
      <c r="E363" s="1" t="str">
        <f t="shared" si="5"/>
        <v/>
      </c>
    </row>
    <row r="364" spans="1:5" x14ac:dyDescent="0.25">
      <c r="A364" t="s">
        <v>695</v>
      </c>
      <c r="B364" t="s">
        <v>696</v>
      </c>
      <c r="D364" s="1">
        <f>COUNTIF(B364,Feladványok!#REF!)</f>
        <v>0</v>
      </c>
      <c r="E364" s="1" t="str">
        <f t="shared" si="5"/>
        <v/>
      </c>
    </row>
    <row r="365" spans="1:5" x14ac:dyDescent="0.25">
      <c r="A365" t="s">
        <v>697</v>
      </c>
      <c r="B365" t="s">
        <v>698</v>
      </c>
      <c r="D365" s="1">
        <f>COUNTIF(B365,Feladványok!#REF!)</f>
        <v>0</v>
      </c>
      <c r="E365" s="1" t="str">
        <f t="shared" si="5"/>
        <v/>
      </c>
    </row>
    <row r="366" spans="1:5" x14ac:dyDescent="0.25">
      <c r="A366" t="s">
        <v>699</v>
      </c>
      <c r="B366" t="s">
        <v>700</v>
      </c>
      <c r="D366" s="1">
        <f>COUNTIF(B366,Feladványok!#REF!)</f>
        <v>0</v>
      </c>
      <c r="E366" s="1" t="str">
        <f t="shared" si="5"/>
        <v/>
      </c>
    </row>
    <row r="367" spans="1:5" x14ac:dyDescent="0.25">
      <c r="A367" t="s">
        <v>701</v>
      </c>
      <c r="B367" t="s">
        <v>459</v>
      </c>
      <c r="D367" s="1">
        <f>COUNTIF(B367,Feladványok!#REF!)</f>
        <v>0</v>
      </c>
      <c r="E367" s="1" t="str">
        <f t="shared" si="5"/>
        <v/>
      </c>
    </row>
    <row r="368" spans="1:5" x14ac:dyDescent="0.25">
      <c r="A368" t="s">
        <v>702</v>
      </c>
      <c r="B368" t="s">
        <v>703</v>
      </c>
      <c r="D368" s="1">
        <f>COUNTIF(B368,Feladványok!#REF!)</f>
        <v>0</v>
      </c>
      <c r="E368" s="1" t="str">
        <f t="shared" si="5"/>
        <v/>
      </c>
    </row>
    <row r="369" spans="1:5" x14ac:dyDescent="0.25">
      <c r="A369" t="s">
        <v>704</v>
      </c>
      <c r="B369" t="s">
        <v>705</v>
      </c>
      <c r="D369" s="1">
        <f>COUNTIF(B369,Feladványok!#REF!)</f>
        <v>0</v>
      </c>
      <c r="E369" s="1" t="str">
        <f t="shared" si="5"/>
        <v/>
      </c>
    </row>
    <row r="370" spans="1:5" x14ac:dyDescent="0.25">
      <c r="A370" t="s">
        <v>706</v>
      </c>
      <c r="B370" t="s">
        <v>707</v>
      </c>
      <c r="D370" s="1">
        <f>COUNTIF(B370,Feladványok!#REF!)</f>
        <v>0</v>
      </c>
      <c r="E370" s="1" t="str">
        <f t="shared" si="5"/>
        <v/>
      </c>
    </row>
    <row r="371" spans="1:5" x14ac:dyDescent="0.25">
      <c r="A371" t="s">
        <v>708</v>
      </c>
      <c r="B371" t="s">
        <v>709</v>
      </c>
      <c r="D371" s="1">
        <f>COUNTIF(B371,Feladványok!#REF!)</f>
        <v>0</v>
      </c>
      <c r="E371" s="1" t="str">
        <f t="shared" si="5"/>
        <v/>
      </c>
    </row>
    <row r="372" spans="1:5" x14ac:dyDescent="0.25">
      <c r="A372" t="s">
        <v>710</v>
      </c>
      <c r="B372" t="s">
        <v>711</v>
      </c>
      <c r="D372" s="1">
        <f>COUNTIF(B372,Feladványok!#REF!)</f>
        <v>0</v>
      </c>
      <c r="E372" s="1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2</vt:i4>
      </vt:variant>
      <vt:variant>
        <vt:lpstr>Névvel ellátott tartományok</vt:lpstr>
      </vt:variant>
      <vt:variant>
        <vt:i4>1</vt:i4>
      </vt:variant>
    </vt:vector>
  </HeadingPairs>
  <TitlesOfParts>
    <vt:vector size="3" baseType="lpstr">
      <vt:lpstr>Feladványok</vt:lpstr>
      <vt:lpstr>Naptár</vt:lpstr>
      <vt:lpstr>Feladványok!Kigyűjtés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Gulyás Katalin</dc:creator>
  <cp:lastModifiedBy>hu</cp:lastModifiedBy>
  <cp:lastPrinted>2017-07-27T12:38:49Z</cp:lastPrinted>
  <dcterms:created xsi:type="dcterms:W3CDTF">2017-07-24T11:48:50Z</dcterms:created>
  <dcterms:modified xsi:type="dcterms:W3CDTF">2026-10-29T10:07:25Z</dcterms:modified>
</cp:coreProperties>
</file>