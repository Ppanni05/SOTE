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\Downloads\"/>
    </mc:Choice>
  </mc:AlternateContent>
  <bookViews>
    <workbookView xWindow="0" yWindow="0" windowWidth="19200" windowHeight="11460" activeTab="4"/>
  </bookViews>
  <sheets>
    <sheet name="Olimpia" sheetId="1" r:id="rId1"/>
    <sheet name="Irányítószám" sheetId="2" r:id="rId2"/>
    <sheet name="Munkabér" sheetId="3" r:id="rId3"/>
    <sheet name="Áfonya" sheetId="4" r:id="rId4"/>
    <sheet name="Diagram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5" i="4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5" i="3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5" i="2"/>
</calcChain>
</file>

<file path=xl/sharedStrings.xml><?xml version="1.0" encoding="utf-8"?>
<sst xmlns="http://schemas.openxmlformats.org/spreadsheetml/2006/main" count="1061" uniqueCount="575">
  <si>
    <t>Állítsd az országokat sorrendbe az általuk elért érmek alapján!</t>
  </si>
  <si>
    <t>Először a legtöbb aranyérem rangsorol, azután a legtöbb ezüstérem, azután a legtöbb bronzérem. Két azonos eredményű ország ábécérendben kövesse egymást!</t>
  </si>
  <si>
    <t>United States</t>
  </si>
  <si>
    <t>Great Britain</t>
  </si>
  <si>
    <t>China</t>
  </si>
  <si>
    <t>Russian Federation</t>
  </si>
  <si>
    <t>Germany</t>
  </si>
  <si>
    <t>Japan</t>
  </si>
  <si>
    <t>France</t>
  </si>
  <si>
    <t>Korea, Republic Of</t>
  </si>
  <si>
    <t>Italy</t>
  </si>
  <si>
    <t>Australia</t>
  </si>
  <si>
    <t>Netherlands</t>
  </si>
  <si>
    <t>Hungary</t>
  </si>
  <si>
    <t>Brazil</t>
  </si>
  <si>
    <t>Spain</t>
  </si>
  <si>
    <t>Kenya</t>
  </si>
  <si>
    <t>Jamaica</t>
  </si>
  <si>
    <t>Croatia</t>
  </si>
  <si>
    <t>Cuba</t>
  </si>
  <si>
    <t>New Zealand</t>
  </si>
  <si>
    <t>Canada</t>
  </si>
  <si>
    <t>Uzbekistan</t>
  </si>
  <si>
    <t>Kazakhstan</t>
  </si>
  <si>
    <t>Colombia</t>
  </si>
  <si>
    <t>Switzerland</t>
  </si>
  <si>
    <t>Iran, Islamic Republic Of</t>
  </si>
  <si>
    <t>Greece</t>
  </si>
  <si>
    <t>Argentina</t>
  </si>
  <si>
    <t>Denmark</t>
  </si>
  <si>
    <t>Sweden</t>
  </si>
  <si>
    <t>South Africa</t>
  </si>
  <si>
    <t>Ukraine</t>
  </si>
  <si>
    <t>Serbia</t>
  </si>
  <si>
    <t>Poland</t>
  </si>
  <si>
    <t>Korea, Democratic People's Republic Of</t>
  </si>
  <si>
    <t>Belgium</t>
  </si>
  <si>
    <t>Thailand</t>
  </si>
  <si>
    <t>Slovakia</t>
  </si>
  <si>
    <t>Georgia</t>
  </si>
  <si>
    <t>Azerbaijan</t>
  </si>
  <si>
    <t>Belarus</t>
  </si>
  <si>
    <t>Turkey</t>
  </si>
  <si>
    <t>Armenia</t>
  </si>
  <si>
    <t>Czech Republic</t>
  </si>
  <si>
    <t>Ethiopia</t>
  </si>
  <si>
    <t>Slovenia</t>
  </si>
  <si>
    <t>Indonesia</t>
  </si>
  <si>
    <t>Romania</t>
  </si>
  <si>
    <t>Bahrain</t>
  </si>
  <si>
    <t>Vietnam</t>
  </si>
  <si>
    <t>Chinese Taipei</t>
  </si>
  <si>
    <t>Bahamas</t>
  </si>
  <si>
    <t>Independent Olympic Athletes</t>
  </si>
  <si>
    <t>Cote d'Ivoire</t>
  </si>
  <si>
    <t>Tajikistan</t>
  </si>
  <si>
    <t>Singapore</t>
  </si>
  <si>
    <t>Fiji</t>
  </si>
  <si>
    <t>Kosovo</t>
  </si>
  <si>
    <t>Jordan</t>
  </si>
  <si>
    <t>Puerto Rico</t>
  </si>
  <si>
    <t>Malaysia</t>
  </si>
  <si>
    <t>Mexico</t>
  </si>
  <si>
    <t>Algeria</t>
  </si>
  <si>
    <t>Ireland</t>
  </si>
  <si>
    <t>Lithuania</t>
  </si>
  <si>
    <t>Venezuela, Bolivarian Republic Of</t>
  </si>
  <si>
    <t>Bulgaria</t>
  </si>
  <si>
    <t>India</t>
  </si>
  <si>
    <t>Mongolia</t>
  </si>
  <si>
    <t>Grenada</t>
  </si>
  <si>
    <t>Burundi</t>
  </si>
  <si>
    <t>Niger</t>
  </si>
  <si>
    <t>Qatar</t>
  </si>
  <si>
    <t>Philippines</t>
  </si>
  <si>
    <t>Norway</t>
  </si>
  <si>
    <t>Egypt</t>
  </si>
  <si>
    <t>Tunisia</t>
  </si>
  <si>
    <t>Israel</t>
  </si>
  <si>
    <t>Trinidad And Tobago</t>
  </si>
  <si>
    <t>Nigeria</t>
  </si>
  <si>
    <t>United Arab Emirates</t>
  </si>
  <si>
    <t>Finland</t>
  </si>
  <si>
    <t>Austria</t>
  </si>
  <si>
    <t>Portugal</t>
  </si>
  <si>
    <t>Dominican Republic</t>
  </si>
  <si>
    <t>Morocco</t>
  </si>
  <si>
    <t>Moldova</t>
  </si>
  <si>
    <t>Estonia</t>
  </si>
  <si>
    <t>Kyrgyzstan</t>
  </si>
  <si>
    <t>Az A oszlopban írjuk ki a helyezést 1-től 88-ig!</t>
  </si>
  <si>
    <t>Aba</t>
  </si>
  <si>
    <t>Fejér</t>
  </si>
  <si>
    <t>Abádszalók</t>
  </si>
  <si>
    <t>Jász-Nagykun-Szolnok</t>
  </si>
  <si>
    <t>Abaliget</t>
  </si>
  <si>
    <t>Baranya</t>
  </si>
  <si>
    <t>Abasár</t>
  </si>
  <si>
    <t>Heves</t>
  </si>
  <si>
    <t>Abaújalpár</t>
  </si>
  <si>
    <t>Borsod-Abaúj-Zemplén</t>
  </si>
  <si>
    <t>Abaújkér</t>
  </si>
  <si>
    <t>Abaújlak</t>
  </si>
  <si>
    <t>Abaújszántó</t>
  </si>
  <si>
    <t>Abaújszolnok</t>
  </si>
  <si>
    <t>Abaújvár</t>
  </si>
  <si>
    <t>Abda</t>
  </si>
  <si>
    <t>Győr-Moson-Sopron</t>
  </si>
  <si>
    <t>Abod</t>
  </si>
  <si>
    <t>Abony</t>
  </si>
  <si>
    <t>Pest</t>
  </si>
  <si>
    <t>Ábrahámhegy</t>
  </si>
  <si>
    <t>Veszprém</t>
  </si>
  <si>
    <t>Ács</t>
  </si>
  <si>
    <t>Komárom-Esztergom</t>
  </si>
  <si>
    <t>Acsa</t>
  </si>
  <si>
    <t>Acsád</t>
  </si>
  <si>
    <t>Vas</t>
  </si>
  <si>
    <t>Acsalag</t>
  </si>
  <si>
    <t>Ácsteszér</t>
  </si>
  <si>
    <t>Adács</t>
  </si>
  <si>
    <t>Ádánd</t>
  </si>
  <si>
    <t>Somogy</t>
  </si>
  <si>
    <t>Adásztevel</t>
  </si>
  <si>
    <t>Adony</t>
  </si>
  <si>
    <t>Adorjánháza</t>
  </si>
  <si>
    <t>Adorjás</t>
  </si>
  <si>
    <t>Ág</t>
  </si>
  <si>
    <t>Ágasegyháza</t>
  </si>
  <si>
    <t>Bács-Kiskun</t>
  </si>
  <si>
    <t>Ágfalva</t>
  </si>
  <si>
    <t>Aggtelek</t>
  </si>
  <si>
    <t>Agyagosszergény</t>
  </si>
  <si>
    <t>Ajak</t>
  </si>
  <si>
    <t>Szabolcs-Szatmár-Bereg</t>
  </si>
  <si>
    <t>Ajka</t>
  </si>
  <si>
    <t>Aka</t>
  </si>
  <si>
    <t>Akasztó</t>
  </si>
  <si>
    <t>Alacska</t>
  </si>
  <si>
    <t>Alap</t>
  </si>
  <si>
    <t>Alattyán</t>
  </si>
  <si>
    <t>Albertirsa</t>
  </si>
  <si>
    <t>Alcsútdoboz</t>
  </si>
  <si>
    <t>Aldebrő</t>
  </si>
  <si>
    <t>Algyő</t>
  </si>
  <si>
    <t>Csongrád</t>
  </si>
  <si>
    <t>Alibánfa</t>
  </si>
  <si>
    <t>Zala</t>
  </si>
  <si>
    <t>Almamellék</t>
  </si>
  <si>
    <t>Almásfüzitő</t>
  </si>
  <si>
    <t>Almásháza</t>
  </si>
  <si>
    <t>Almáskamarás</t>
  </si>
  <si>
    <t>Békés</t>
  </si>
  <si>
    <t>Almáskeresztúr</t>
  </si>
  <si>
    <t>Álmosd</t>
  </si>
  <si>
    <t>Hajdú-Bihar</t>
  </si>
  <si>
    <t>Alsóberecki</t>
  </si>
  <si>
    <t>Alsóbogát</t>
  </si>
  <si>
    <t>Alsódobsza</t>
  </si>
  <si>
    <t>Alsógagy</t>
  </si>
  <si>
    <t>Alsómocsolád</t>
  </si>
  <si>
    <t>Alsónána</t>
  </si>
  <si>
    <t>Tolna</t>
  </si>
  <si>
    <t>Alsónémedi</t>
  </si>
  <si>
    <t>Alsónemesapáti</t>
  </si>
  <si>
    <t>Alsónyék</t>
  </si>
  <si>
    <t>Alsóörs</t>
  </si>
  <si>
    <t>Alsópáhok</t>
  </si>
  <si>
    <t>Alsópetény</t>
  </si>
  <si>
    <t>Nógrád</t>
  </si>
  <si>
    <t>Alsórajk</t>
  </si>
  <si>
    <t>Alsóregmec</t>
  </si>
  <si>
    <t>Alsószenterzsébet</t>
  </si>
  <si>
    <t>Alsószentiván</t>
  </si>
  <si>
    <t>Alsószentmárton</t>
  </si>
  <si>
    <t>Alsószölnök</t>
  </si>
  <si>
    <t>Alsószuha</t>
  </si>
  <si>
    <t>Alsótelekes</t>
  </si>
  <si>
    <t>Alsótold</t>
  </si>
  <si>
    <t>Alsóújlak</t>
  </si>
  <si>
    <t>Alsóvadász</t>
  </si>
  <si>
    <t>Alsózsolca</t>
  </si>
  <si>
    <t>Ambrózfalva</t>
  </si>
  <si>
    <t>Anarcs</t>
  </si>
  <si>
    <t>Andocs</t>
  </si>
  <si>
    <t>Andornaktálya</t>
  </si>
  <si>
    <t>Andrásfa</t>
  </si>
  <si>
    <t>Annavölgy</t>
  </si>
  <si>
    <t>Apácatorna</t>
  </si>
  <si>
    <t>Apagy</t>
  </si>
  <si>
    <t>Apaj</t>
  </si>
  <si>
    <t>Aparhant</t>
  </si>
  <si>
    <t>Apátfalva</t>
  </si>
  <si>
    <t>Apátistvánfalva</t>
  </si>
  <si>
    <t>Apátvarasd</t>
  </si>
  <si>
    <t>Apc</t>
  </si>
  <si>
    <t>Áporka</t>
  </si>
  <si>
    <t>Apostag</t>
  </si>
  <si>
    <t>Aranyosapáti</t>
  </si>
  <si>
    <t>Aranyosgadány</t>
  </si>
  <si>
    <t>Arka</t>
  </si>
  <si>
    <t>Arló</t>
  </si>
  <si>
    <t>Arnót</t>
  </si>
  <si>
    <t>Ároktő</t>
  </si>
  <si>
    <t>Árpádhalom</t>
  </si>
  <si>
    <t>Árpás</t>
  </si>
  <si>
    <t>Ártánd</t>
  </si>
  <si>
    <t>Ásotthalom</t>
  </si>
  <si>
    <t>Ásványráró</t>
  </si>
  <si>
    <t>Aszaló</t>
  </si>
  <si>
    <t>Aszód</t>
  </si>
  <si>
    <t>Aszófő</t>
  </si>
  <si>
    <t>Áta</t>
  </si>
  <si>
    <t>Átány</t>
  </si>
  <si>
    <t>Atkár</t>
  </si>
  <si>
    <t>Attala</t>
  </si>
  <si>
    <t>Babarc</t>
  </si>
  <si>
    <t>Babarcszőlős</t>
  </si>
  <si>
    <t>Babócsa</t>
  </si>
  <si>
    <t>Bábolna</t>
  </si>
  <si>
    <t>Bábonymegyer</t>
  </si>
  <si>
    <t>Babosdöbréte</t>
  </si>
  <si>
    <t>Babót</t>
  </si>
  <si>
    <t>Bácsalmás</t>
  </si>
  <si>
    <t>Bácsbokod</t>
  </si>
  <si>
    <t>Bácsborsód</t>
  </si>
  <si>
    <t>Bácsszentgyörgy</t>
  </si>
  <si>
    <t>Bácsszőlős</t>
  </si>
  <si>
    <t>Badacsonytomaj</t>
  </si>
  <si>
    <t>Badacsonytördemic</t>
  </si>
  <si>
    <t>Bag</t>
  </si>
  <si>
    <t>Bagamér</t>
  </si>
  <si>
    <t>Baglad</t>
  </si>
  <si>
    <t>Bagod</t>
  </si>
  <si>
    <t>Bágyogszovát</t>
  </si>
  <si>
    <t>Baj</t>
  </si>
  <si>
    <t>Baja</t>
  </si>
  <si>
    <t>Bajánsenye</t>
  </si>
  <si>
    <t>Bajna</t>
  </si>
  <si>
    <t>Bajót</t>
  </si>
  <si>
    <t>Bak</t>
  </si>
  <si>
    <t>Bakháza</t>
  </si>
  <si>
    <t>Bakóca</t>
  </si>
  <si>
    <t>Bakonszeg</t>
  </si>
  <si>
    <t>Bakonya</t>
  </si>
  <si>
    <t>Bakonybánk</t>
  </si>
  <si>
    <t>Bakonybél</t>
  </si>
  <si>
    <t>Bakonycsernye</t>
  </si>
  <si>
    <t>Bakonygyirót</t>
  </si>
  <si>
    <t>Bakonyjákó</t>
  </si>
  <si>
    <t>Bakonykoppány</t>
  </si>
  <si>
    <t>Bakonykúti</t>
  </si>
  <si>
    <t>Bakonynána</t>
  </si>
  <si>
    <t>Bakonyoszlop</t>
  </si>
  <si>
    <t>Bakonypéterd</t>
  </si>
  <si>
    <t>Bakonypölöske</t>
  </si>
  <si>
    <t>Bakonyság</t>
  </si>
  <si>
    <t>Bakonysárkány</t>
  </si>
  <si>
    <t>Bakonyszentiván</t>
  </si>
  <si>
    <t>Bakonyszentkirály</t>
  </si>
  <si>
    <t>Bakonyszentlászló</t>
  </si>
  <si>
    <t>Bakonyszombathely</t>
  </si>
  <si>
    <t>Bakonyszücs</t>
  </si>
  <si>
    <t>Bakonytamási</t>
  </si>
  <si>
    <t>Baks</t>
  </si>
  <si>
    <t>Baksa</t>
  </si>
  <si>
    <t>Baktakék</t>
  </si>
  <si>
    <t>Baktalórántháza</t>
  </si>
  <si>
    <t>Baktüttös</t>
  </si>
  <si>
    <t>Balajt</t>
  </si>
  <si>
    <t>Balassagyarmat</t>
  </si>
  <si>
    <t>Balástya</t>
  </si>
  <si>
    <t>Balaton</t>
  </si>
  <si>
    <t>Balatonakali</t>
  </si>
  <si>
    <t>Balatonalmádi</t>
  </si>
  <si>
    <t>Balatonberény</t>
  </si>
  <si>
    <t>Balatonboglár</t>
  </si>
  <si>
    <t>Balatoncsicsó</t>
  </si>
  <si>
    <t>Balatonederics</t>
  </si>
  <si>
    <t>Balatonendréd</t>
  </si>
  <si>
    <t>Balatonfenyves</t>
  </si>
  <si>
    <t>Balatonfőkajár</t>
  </si>
  <si>
    <t>Balatonföldvár</t>
  </si>
  <si>
    <t>Balatonfüred</t>
  </si>
  <si>
    <t>Balatonfűzfő</t>
  </si>
  <si>
    <t>Balatongyörök</t>
  </si>
  <si>
    <t>Balatonhenye</t>
  </si>
  <si>
    <t>Balatonkenese</t>
  </si>
  <si>
    <t>Balatonkeresztúr</t>
  </si>
  <si>
    <t>Balatonlelle</t>
  </si>
  <si>
    <t>Balatonmagyaród</t>
  </si>
  <si>
    <t>Balatonmáriafürdő</t>
  </si>
  <si>
    <t>Balatonőszöd</t>
  </si>
  <si>
    <t>Balatonrendes</t>
  </si>
  <si>
    <t>Balatonszabadi</t>
  </si>
  <si>
    <t>Balatonszárszó</t>
  </si>
  <si>
    <t>Balatonszemes</t>
  </si>
  <si>
    <t>Balatonszentgyörgy</t>
  </si>
  <si>
    <t>Balatonszepezd</t>
  </si>
  <si>
    <t>Balatonszőlős</t>
  </si>
  <si>
    <t>Balatonudvari</t>
  </si>
  <si>
    <t>Balatonújlak</t>
  </si>
  <si>
    <t>Balatonvilágos</t>
  </si>
  <si>
    <t>Balinka</t>
  </si>
  <si>
    <t>Balkány</t>
  </si>
  <si>
    <t>Ballószög</t>
  </si>
  <si>
    <t>Balmazújváros</t>
  </si>
  <si>
    <t>Balogunyom</t>
  </si>
  <si>
    <t>Balotaszállás</t>
  </si>
  <si>
    <t>Balsa</t>
  </si>
  <si>
    <t>Bálványos</t>
  </si>
  <si>
    <t>Bana</t>
  </si>
  <si>
    <t>Bánd</t>
  </si>
  <si>
    <t>Bánfa</t>
  </si>
  <si>
    <t>Bánhorváti</t>
  </si>
  <si>
    <t>Bánk</t>
  </si>
  <si>
    <t>Bánokszentgyörgy</t>
  </si>
  <si>
    <t>Bánréve</t>
  </si>
  <si>
    <t>Bár</t>
  </si>
  <si>
    <t>Barabás</t>
  </si>
  <si>
    <t>Baracs</t>
  </si>
  <si>
    <t>Baracska</t>
  </si>
  <si>
    <t>Báránd</t>
  </si>
  <si>
    <t>Baranyahidvég</t>
  </si>
  <si>
    <t>Baranyajenő</t>
  </si>
  <si>
    <t>Baranyaszentgyörgy</t>
  </si>
  <si>
    <t>Barbacs</t>
  </si>
  <si>
    <t>Barcs</t>
  </si>
  <si>
    <t>Bárdudvarnok</t>
  </si>
  <si>
    <t>Barlahida</t>
  </si>
  <si>
    <t>Bárna</t>
  </si>
  <si>
    <t>Barnag</t>
  </si>
  <si>
    <t>Bársonyos</t>
  </si>
  <si>
    <t>Basal</t>
  </si>
  <si>
    <t>Baskó</t>
  </si>
  <si>
    <t>Báta</t>
  </si>
  <si>
    <t>Bátaapáti</t>
  </si>
  <si>
    <t>Bátaszék</t>
  </si>
  <si>
    <t>Baté</t>
  </si>
  <si>
    <t>Bátmonostor</t>
  </si>
  <si>
    <t>Bátonyterenye</t>
  </si>
  <si>
    <t>Bátor</t>
  </si>
  <si>
    <t>Bátorliget</t>
  </si>
  <si>
    <t>Battonya</t>
  </si>
  <si>
    <t>Bátya</t>
  </si>
  <si>
    <t>Batyk</t>
  </si>
  <si>
    <t>Bázakerettye</t>
  </si>
  <si>
    <t>Bazsi</t>
  </si>
  <si>
    <t>Béb</t>
  </si>
  <si>
    <t>Becsehely</t>
  </si>
  <si>
    <t>Becske</t>
  </si>
  <si>
    <t>Becskeháza</t>
  </si>
  <si>
    <t>Becsvölgye</t>
  </si>
  <si>
    <t>Bedegkér</t>
  </si>
  <si>
    <t>Bedő</t>
  </si>
  <si>
    <t>Bejcgyertyános</t>
  </si>
  <si>
    <t>Békás</t>
  </si>
  <si>
    <t>Bekecs</t>
  </si>
  <si>
    <t>Békéscsaba</t>
  </si>
  <si>
    <t>Békéssámson</t>
  </si>
  <si>
    <t>Békésszentandrás</t>
  </si>
  <si>
    <t>Bekölce</t>
  </si>
  <si>
    <t>Bélapátfalva</t>
  </si>
  <si>
    <t>Bélavár</t>
  </si>
  <si>
    <t>Belecska</t>
  </si>
  <si>
    <t>Beled</t>
  </si>
  <si>
    <t>Beleg</t>
  </si>
  <si>
    <t>Belezna</t>
  </si>
  <si>
    <t>Bélmegyer</t>
  </si>
  <si>
    <t>Beloiannisz</t>
  </si>
  <si>
    <t>Belsősárd</t>
  </si>
  <si>
    <t>Belvárdgyula</t>
  </si>
  <si>
    <t>Benk</t>
  </si>
  <si>
    <t>Bénye</t>
  </si>
  <si>
    <t>Bér</t>
  </si>
  <si>
    <t>Bérbaltavár</t>
  </si>
  <si>
    <t>Bercel</t>
  </si>
  <si>
    <t>Beregdaróc</t>
  </si>
  <si>
    <t>Beregsurány</t>
  </si>
  <si>
    <t>Berekböszörmény</t>
  </si>
  <si>
    <t>Berekfürdő</t>
  </si>
  <si>
    <t>Beremend</t>
  </si>
  <si>
    <t>Berente</t>
  </si>
  <si>
    <t>Beret</t>
  </si>
  <si>
    <t>Berettyóújfalu</t>
  </si>
  <si>
    <t>Berhida</t>
  </si>
  <si>
    <t>Berkenye</t>
  </si>
  <si>
    <t>Berkesd</t>
  </si>
  <si>
    <t>Berkesz</t>
  </si>
  <si>
    <t>Bernecebaráti</t>
  </si>
  <si>
    <t>Berzék</t>
  </si>
  <si>
    <t>Berzence</t>
  </si>
  <si>
    <t>Besence</t>
  </si>
  <si>
    <t>Besenyőd</t>
  </si>
  <si>
    <t>Besenyőtelek</t>
  </si>
  <si>
    <t>Besenyszög</t>
  </si>
  <si>
    <t>Besnyő</t>
  </si>
  <si>
    <t>Beszterec</t>
  </si>
  <si>
    <t>Bezedek</t>
  </si>
  <si>
    <t>Bezenye</t>
  </si>
  <si>
    <t>Bezeréd</t>
  </si>
  <si>
    <t>Bezi</t>
  </si>
  <si>
    <t>Biatorbágy</t>
  </si>
  <si>
    <t>Bicsérd</t>
  </si>
  <si>
    <t>Bicske</t>
  </si>
  <si>
    <t>Bihardancsháza</t>
  </si>
  <si>
    <t>Biharkeresztes</t>
  </si>
  <si>
    <t>Biharnagybajom</t>
  </si>
  <si>
    <t>Bihartorda</t>
  </si>
  <si>
    <t>Biharugra</t>
  </si>
  <si>
    <t>Bikács</t>
  </si>
  <si>
    <t>Bikal</t>
  </si>
  <si>
    <t>Biri</t>
  </si>
  <si>
    <t>Birján</t>
  </si>
  <si>
    <t>Bisse</t>
  </si>
  <si>
    <t>Bő</t>
  </si>
  <si>
    <t>Boba</t>
  </si>
  <si>
    <t>Bocfölde</t>
  </si>
  <si>
    <t>Boconád</t>
  </si>
  <si>
    <t>Bőcs</t>
  </si>
  <si>
    <t>Bócsa</t>
  </si>
  <si>
    <t>Bocska</t>
  </si>
  <si>
    <t>Bocskaikert</t>
  </si>
  <si>
    <t>Boda</t>
  </si>
  <si>
    <t>Bodajk</t>
  </si>
  <si>
    <t>Böde</t>
  </si>
  <si>
    <t>Bödeháza</t>
  </si>
  <si>
    <t>Bodmér</t>
  </si>
  <si>
    <t>Bodolyabér</t>
  </si>
  <si>
    <t>Bodonhely</t>
  </si>
  <si>
    <t>Bodony</t>
  </si>
  <si>
    <t>Bodorfa</t>
  </si>
  <si>
    <t>Bodrog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</si>
  <si>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</si>
  <si>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</si>
  <si>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</si>
  <si>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</si>
  <si>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</si>
  <si>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</si>
  <si>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</si>
  <si>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</si>
  <si>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Bogád</t>
  </si>
  <si>
    <t>Bogádmindszent</t>
  </si>
  <si>
    <t>Bogdása</t>
  </si>
  <si>
    <t>Bögöt</t>
  </si>
  <si>
    <t>Bögöte</t>
  </si>
  <si>
    <t>Bogyiszló</t>
  </si>
  <si>
    <t>Bogyoszló</t>
  </si>
  <si>
    <t>Böhönye</t>
  </si>
  <si>
    <t>Bojt</t>
  </si>
  <si>
    <t>Bókaháza</t>
  </si>
  <si>
    <t>Bokod</t>
  </si>
  <si>
    <t>Bököny</t>
  </si>
  <si>
    <t>Bokor</t>
  </si>
  <si>
    <t>Bölcske</t>
  </si>
  <si>
    <t>Boldog</t>
  </si>
  <si>
    <t>Boldogasszonyfa</t>
  </si>
  <si>
    <t>Boldogkőújfalu</t>
  </si>
  <si>
    <t>Boldogkőváralja</t>
  </si>
  <si>
    <t>Boldva</t>
  </si>
  <si>
    <t>Bolhás</t>
  </si>
  <si>
    <t>Bolhó</t>
  </si>
  <si>
    <t>Bóly</t>
  </si>
  <si>
    <t>Boncodfölde</t>
  </si>
  <si>
    <t>Bonnya</t>
  </si>
  <si>
    <t>Bőny</t>
  </si>
  <si>
    <t>Bonyhád</t>
  </si>
  <si>
    <t>Bonyhádvarasd</t>
  </si>
  <si>
    <t>Börcs</t>
  </si>
  <si>
    <t>Bordány</t>
  </si>
  <si>
    <t>Borgáta</t>
  </si>
  <si>
    <t>Borjád</t>
  </si>
  <si>
    <t>Borota</t>
  </si>
  <si>
    <t>Borsfa</t>
  </si>
  <si>
    <t>Borsodbóta</t>
  </si>
  <si>
    <t>Borsodgeszt</t>
  </si>
  <si>
    <t>Borsodivánka</t>
  </si>
  <si>
    <t>Borsodnádasd</t>
  </si>
  <si>
    <t>Borsodszentgyörgy</t>
  </si>
  <si>
    <t>Borsodszirák</t>
  </si>
  <si>
    <t>Borsosberény</t>
  </si>
  <si>
    <t>Borszörcsök</t>
  </si>
  <si>
    <t>Borzavár</t>
  </si>
  <si>
    <t>Börzönce</t>
  </si>
  <si>
    <t>Bősárkány</t>
  </si>
  <si>
    <t>Bosta</t>
  </si>
  <si>
    <t>Bőszénfa</t>
  </si>
  <si>
    <t>Botpalád</t>
  </si>
  <si>
    <t>Botykapeterd</t>
  </si>
  <si>
    <t>Bozsok</t>
  </si>
  <si>
    <t>Bózsva</t>
  </si>
  <si>
    <t>Bozzai</t>
  </si>
  <si>
    <t>Bucsa</t>
  </si>
  <si>
    <t>Bucsu</t>
  </si>
  <si>
    <t>Bucsuszentlászló</t>
  </si>
  <si>
    <t>Bucsuta</t>
  </si>
  <si>
    <t>Budajenő</t>
  </si>
  <si>
    <t>Budakalász</t>
  </si>
  <si>
    <t>Budakeszi</t>
  </si>
  <si>
    <t>Budaörs</t>
  </si>
  <si>
    <t>Kiss</t>
  </si>
  <si>
    <t>Nagy</t>
  </si>
  <si>
    <t>Kovács</t>
  </si>
  <si>
    <t>Szabó</t>
  </si>
  <si>
    <t>Tóth</t>
  </si>
  <si>
    <t>Fekete</t>
  </si>
  <si>
    <t>Bodnár</t>
  </si>
  <si>
    <t>Szóke</t>
  </si>
  <si>
    <t>Fazekas</t>
  </si>
  <si>
    <t>Mátéffy</t>
  </si>
  <si>
    <t>Mészáros</t>
  </si>
  <si>
    <t>Balog</t>
  </si>
  <si>
    <t>Szakáll</t>
  </si>
  <si>
    <t>Török</t>
  </si>
  <si>
    <t>Német</t>
  </si>
  <si>
    <t>Oláh</t>
  </si>
  <si>
    <t>Rácz</t>
  </si>
  <si>
    <t>Lázár</t>
  </si>
  <si>
    <t>Molnár</t>
  </si>
  <si>
    <t>Falusi</t>
  </si>
  <si>
    <t>Nyúl</t>
  </si>
  <si>
    <t>Farkas</t>
  </si>
  <si>
    <t>Medve</t>
  </si>
  <si>
    <t>Róka</t>
  </si>
  <si>
    <t>Muflon</t>
  </si>
  <si>
    <t>Szöcske</t>
  </si>
  <si>
    <t>Sáska</t>
  </si>
  <si>
    <t>Tücsök</t>
  </si>
  <si>
    <t>Hangya</t>
  </si>
  <si>
    <t>Macska</t>
  </si>
  <si>
    <t>Tyúk</t>
  </si>
  <si>
    <t>Marha</t>
  </si>
  <si>
    <t>Ló</t>
  </si>
  <si>
    <t>Szamár</t>
  </si>
  <si>
    <t>Vaddisznó</t>
  </si>
  <si>
    <t>Bárány</t>
  </si>
  <si>
    <t>Pulyka</t>
  </si>
  <si>
    <t>Galamb</t>
  </si>
  <si>
    <t>Sárkány</t>
  </si>
  <si>
    <t>Péter</t>
  </si>
  <si>
    <t>Irsz</t>
  </si>
  <si>
    <t>Település</t>
  </si>
  <si>
    <t>Megye</t>
  </si>
  <si>
    <t>Vezetéknév</t>
  </si>
  <si>
    <t>Keresztnév</t>
  </si>
  <si>
    <t>Utca</t>
  </si>
  <si>
    <t>Házszám</t>
  </si>
  <si>
    <t>Töltsd ki a szürke táblázatot!</t>
  </si>
  <si>
    <t>A település és megye oszlopokat az irányítószám alapján határozd meg!</t>
  </si>
  <si>
    <t>Segítségnek használd az M N O oszlopokat!</t>
  </si>
  <si>
    <t>Fizetés</t>
  </si>
  <si>
    <t>Órabér:1200 Ft</t>
  </si>
  <si>
    <t>Túlórabér havi 160 óra felett óránként 1200 Ft+20%</t>
  </si>
  <si>
    <t>Ledolgozott óra/ hó</t>
  </si>
  <si>
    <t>Határozd meg a dolgozók fizetését a H oszlopban talált adatok alapján!</t>
  </si>
  <si>
    <t>A D oszloptól jobbra levő területet használhatod segédszámításokra!</t>
  </si>
  <si>
    <t>Győztes személy</t>
  </si>
  <si>
    <t>Győztes darabszám</t>
  </si>
  <si>
    <t>Törpilla</t>
  </si>
  <si>
    <t>Okoska</t>
  </si>
  <si>
    <t>Ügyifogyi</t>
  </si>
  <si>
    <t>Nap</t>
  </si>
  <si>
    <t>Összesen:</t>
  </si>
  <si>
    <t>A törpök egész augusztusban áfonyát gyűjtenek. Hogy jobban menjen a munka, áfonyagyűjtő versenyt rendeznek.</t>
  </si>
  <si>
    <t>Határozd meg a napi győztes darabszámot, és a napi győztes nevét! A 36 sorban a havi összesített eredményeket is számold ki!</t>
  </si>
  <si>
    <t>Olimpiai éremtáblázat, 2016, Rio</t>
  </si>
  <si>
    <t>Hozd létre az ábrán látható diagramot!</t>
  </si>
  <si>
    <t>A diagramhoz szükséges adatokat olvasd le a képről és hozz létre táblázatot!</t>
  </si>
  <si>
    <t>Legyen minél nagyobb a hasonlóság!</t>
  </si>
  <si>
    <t>ananász</t>
  </si>
  <si>
    <t>alma</t>
  </si>
  <si>
    <t>banán</t>
  </si>
  <si>
    <t>körte</t>
  </si>
  <si>
    <t>szilva</t>
  </si>
  <si>
    <t>meggy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</si>
</sst>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\ &quot;Ft&quot;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0"/>
      <color rgb="FF333333"/>
      <name val="Arial"/>
      <family val="2"/>
      <charset val="238"/>
    </font>
    <font>
      <sz val="10"/>
      <color rgb="FF333333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</font>
    <font>
      <sz val="12"/>
      <color rgb="FFFF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/>
    <xf numFmtId="1" fontId="6" fillId="0" borderId="0" xfId="1" applyNumberFormat="1" applyFont="1"/>
    <xf numFmtId="0" fontId="6" fillId="0" borderId="0" xfId="1" applyFont="1"/>
    <xf numFmtId="1" fontId="6" fillId="0" borderId="0" xfId="1" applyNumberFormat="1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" fontId="6" fillId="3" borderId="0" xfId="1" applyNumberFormat="1" applyFont="1" applyFill="1" applyAlignment="1">
      <alignment horizontal="center"/>
    </xf>
    <xf numFmtId="0" fontId="7" fillId="0" borderId="0" xfId="0" applyFont="1"/>
    <xf numFmtId="0" fontId="0" fillId="3" borderId="0" xfId="0" applyFill="1"/>
    <xf numFmtId="1" fontId="0" fillId="3" borderId="0" xfId="0" applyNumberFormat="1" applyFill="1" applyAlignment="1">
      <alignment horizontal="center"/>
    </xf>
    <xf numFmtId="0" fontId="0" fillId="3" borderId="2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168" fontId="6" fillId="3" borderId="0" xfId="1" applyNumberFormat="1" applyFont="1" applyFill="1" applyAlignment="1">
      <alignment horizontal="center"/>
    </xf>
    <xf numFmtId="1" fontId="0" fillId="3" borderId="0" xfId="0" applyNumberFormat="1" applyFill="1"/>
    <xf numFmtId="9" fontId="0" fillId="0" borderId="0" xfId="0" applyNumberFormat="1"/>
    <xf numFmtId="0" fontId="8" fillId="0" borderId="0" xfId="0" applyFont="1" applyFill="1"/>
    <xf numFmtId="0" fontId="8" fillId="0" borderId="0" xfId="0" applyFont="1"/>
  </cellXfs>
  <cellStyles count="2">
    <cellStyle name="Normál" xfId="0" builtinId="0"/>
    <cellStyle name="Normá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="1" i="0"/>
              <a:t>Gyümölcsök</a:t>
            </a:r>
            <a:r>
              <a:rPr lang="hu-HU" b="1" baseline="0"/>
              <a:t> forgalma 2023-ban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0-33ED-44C2-AF89-C6DA41931A29}"/>
              </c:ext>
            </c:extLst>
          </c:dPt>
          <c:dPt>
            <c:idx val="2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25400">
                <a:noFill/>
              </a:ln>
              <a:effectLst>
                <a:outerShdw blurRad="50800" dist="50800" dir="5400000" algn="ctr" rotWithShape="0">
                  <a:schemeClr val="accent2">
                    <a:lumMod val="20000"/>
                    <a:lumOff val="8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3ED-44C2-AF89-C6DA41931A29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33ED-44C2-AF89-C6DA41931A29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33ED-44C2-AF89-C6DA41931A2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33ED-44C2-AF89-C6DA41931A29}"/>
              </c:ext>
            </c:extLst>
          </c:dPt>
          <c:cat>
            <c:strRef>
              <c:f>Diagram!$A$5:$A$10</c:f>
              <c:strCache>
                <c:ptCount val="6"/>
                <c:pt idx="0">
                  <c:v>ananász</c:v>
                </c:pt>
                <c:pt idx="1">
                  <c:v>alma</c:v>
                </c:pt>
                <c:pt idx="2">
                  <c:v>banán</c:v>
                </c:pt>
                <c:pt idx="3">
                  <c:v>körte</c:v>
                </c:pt>
                <c:pt idx="4">
                  <c:v>szilva</c:v>
                </c:pt>
                <c:pt idx="5">
                  <c:v>meggy</c:v>
                </c:pt>
              </c:strCache>
            </c:strRef>
          </c:cat>
          <c:val>
            <c:numRef>
              <c:f>Diagram!$B$5:$B$10</c:f>
              <c:numCache>
                <c:formatCode>0%</c:formatCode>
                <c:ptCount val="6"/>
                <c:pt idx="0">
                  <c:v>0.12</c:v>
                </c:pt>
                <c:pt idx="1">
                  <c:v>0.24</c:v>
                </c:pt>
                <c:pt idx="2">
                  <c:v>0.22</c:v>
                </c:pt>
                <c:pt idx="3">
                  <c:v>0.21</c:v>
                </c:pt>
                <c:pt idx="4">
                  <c:v>0.14000000000000001</c:v>
                </c:pt>
                <c:pt idx="5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D-44C2-AF89-C6DA41931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495299</xdr:colOff>
      <xdr:row>1</xdr:row>
      <xdr:rowOff>47316</xdr:rowOff>
    </xdr:from>
    <xdr:to>
      <xdr:col>15</xdr:col>
      <xdr:colOff>233048</xdr:colOff>
      <xdr:row>15</xdr:row>
      <xdr:rowOff>171833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99" y="247341"/>
          <a:ext cx="4614549" cy="2867717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12</xdr:row>
      <xdr:rowOff>47625</xdr:rowOff>
    </xdr:from>
    <xdr:to>
      <xdr:col>7</xdr:col>
      <xdr:colOff>381000</xdr:colOff>
      <xdr:row>26</xdr:row>
      <xdr:rowOff>123825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93"/>
  <sheetViews>
    <sheetView topLeftCell="A59" workbookViewId="0">
      <selection activeCell="J84" sqref="J84"/>
    </sheetView>
  </sheetViews>
  <sheetFormatPr defaultRowHeight="15" x14ac:dyDescent="0.25"/>
  <cols>
    <col min="2" max="2" width="29.7109375" customWidth="1"/>
  </cols>
  <sheetData>
    <row r="5" spans="1:10" ht="15" customHeight="1" x14ac:dyDescent="0.25">
      <c r="A5" s="1">
        <v>1</v>
      </c>
      <c r="B5" s="2" t="s">
        <v>2</v>
      </c>
      <c r="C5" s="2">
        <v>46</v>
      </c>
      <c r="D5" s="2">
        <v>37</v>
      </c>
      <c r="E5" s="2">
        <v>38</v>
      </c>
    </row>
    <row r="6" spans="1:10" ht="15" customHeight="1" x14ac:dyDescent="0.25">
      <c r="A6" s="1">
        <v>2</v>
      </c>
      <c r="B6" s="2" t="s">
        <v>4</v>
      </c>
      <c r="C6" s="2">
        <v>26</v>
      </c>
      <c r="D6" s="2">
        <v>18</v>
      </c>
      <c r="E6" s="2">
        <v>26</v>
      </c>
    </row>
    <row r="7" spans="1:10" ht="15" customHeight="1" x14ac:dyDescent="0.25">
      <c r="A7" s="1">
        <v>3</v>
      </c>
      <c r="B7" s="2" t="s">
        <v>7</v>
      </c>
      <c r="C7" s="2">
        <v>12</v>
      </c>
      <c r="D7" s="2">
        <v>8</v>
      </c>
      <c r="E7" s="2">
        <v>21</v>
      </c>
    </row>
    <row r="8" spans="1:10" ht="15" customHeight="1" x14ac:dyDescent="0.25">
      <c r="A8" s="1">
        <v>4</v>
      </c>
      <c r="B8" s="2" t="s">
        <v>5</v>
      </c>
      <c r="C8" s="2">
        <v>19</v>
      </c>
      <c r="D8" s="2">
        <v>18</v>
      </c>
      <c r="E8" s="2">
        <v>19</v>
      </c>
    </row>
    <row r="9" spans="1:10" ht="15" customHeight="1" x14ac:dyDescent="0.25">
      <c r="A9" s="1">
        <v>5</v>
      </c>
      <c r="B9" s="2" t="s">
        <v>3</v>
      </c>
      <c r="C9" s="2">
        <v>27</v>
      </c>
      <c r="D9" s="2">
        <v>23</v>
      </c>
      <c r="E9" s="2">
        <v>17</v>
      </c>
    </row>
    <row r="10" spans="1:10" ht="15" customHeight="1" x14ac:dyDescent="0.3">
      <c r="A10" s="1">
        <v>6</v>
      </c>
      <c r="B10" s="2" t="s">
        <v>6</v>
      </c>
      <c r="C10" s="2">
        <v>17</v>
      </c>
      <c r="D10" s="2">
        <v>10</v>
      </c>
      <c r="E10" s="2">
        <v>15</v>
      </c>
      <c r="J10" s="3" t="s">
        <v>565</v>
      </c>
    </row>
    <row r="11" spans="1:10" ht="15" customHeight="1" x14ac:dyDescent="0.25">
      <c r="A11" s="1">
        <v>7</v>
      </c>
      <c r="B11" s="2" t="s">
        <v>21</v>
      </c>
      <c r="C11" s="2">
        <v>4</v>
      </c>
      <c r="D11" s="2">
        <v>3</v>
      </c>
      <c r="E11" s="2">
        <v>15</v>
      </c>
      <c r="J11" s="13" t="s">
        <v>0</v>
      </c>
    </row>
    <row r="12" spans="1:10" ht="15" customHeight="1" x14ac:dyDescent="0.25">
      <c r="A12" s="1">
        <v>8</v>
      </c>
      <c r="B12" s="2" t="s">
        <v>8</v>
      </c>
      <c r="C12" s="2">
        <v>10</v>
      </c>
      <c r="D12" s="2">
        <v>18</v>
      </c>
      <c r="E12" s="2">
        <v>14</v>
      </c>
      <c r="J12" s="13" t="s">
        <v>1</v>
      </c>
    </row>
    <row r="13" spans="1:10" ht="15" customHeight="1" x14ac:dyDescent="0.25">
      <c r="A13" s="1">
        <v>9</v>
      </c>
      <c r="B13" s="2" t="s">
        <v>11</v>
      </c>
      <c r="C13" s="2">
        <v>8</v>
      </c>
      <c r="D13" s="2">
        <v>11</v>
      </c>
      <c r="E13" s="2">
        <v>10</v>
      </c>
      <c r="J13" s="13" t="s">
        <v>90</v>
      </c>
    </row>
    <row r="14" spans="1:10" ht="15" customHeight="1" x14ac:dyDescent="0.25">
      <c r="A14" s="1">
        <v>10</v>
      </c>
      <c r="B14" s="2" t="s">
        <v>40</v>
      </c>
      <c r="C14" s="2">
        <v>1</v>
      </c>
      <c r="D14" s="2">
        <v>7</v>
      </c>
      <c r="E14" s="2">
        <v>10</v>
      </c>
    </row>
    <row r="15" spans="1:10" ht="15" customHeight="1" x14ac:dyDescent="0.25">
      <c r="A15" s="1">
        <v>11</v>
      </c>
      <c r="B15" s="2" t="s">
        <v>23</v>
      </c>
      <c r="C15" s="2">
        <v>3</v>
      </c>
      <c r="D15" s="2">
        <v>5</v>
      </c>
      <c r="E15" s="2">
        <v>9</v>
      </c>
    </row>
    <row r="16" spans="1:10" ht="15" customHeight="1" x14ac:dyDescent="0.25">
      <c r="A16" s="1">
        <v>12</v>
      </c>
      <c r="B16" s="2" t="s">
        <v>9</v>
      </c>
      <c r="C16" s="2">
        <v>9</v>
      </c>
      <c r="D16" s="2">
        <v>3</v>
      </c>
      <c r="E16" s="2">
        <v>9</v>
      </c>
    </row>
    <row r="17" spans="1:5" ht="15" customHeight="1" x14ac:dyDescent="0.25">
      <c r="A17" s="1">
        <v>13</v>
      </c>
      <c r="B17" s="2" t="s">
        <v>10</v>
      </c>
      <c r="C17" s="2">
        <v>8</v>
      </c>
      <c r="D17" s="2">
        <v>12</v>
      </c>
      <c r="E17" s="2">
        <v>8</v>
      </c>
    </row>
    <row r="18" spans="1:5" ht="15" customHeight="1" x14ac:dyDescent="0.25">
      <c r="A18" s="1">
        <v>14</v>
      </c>
      <c r="B18" s="2" t="s">
        <v>29</v>
      </c>
      <c r="C18" s="2">
        <v>2</v>
      </c>
      <c r="D18" s="2">
        <v>6</v>
      </c>
      <c r="E18" s="2">
        <v>7</v>
      </c>
    </row>
    <row r="19" spans="1:5" ht="15" customHeight="1" x14ac:dyDescent="0.25">
      <c r="A19" s="1">
        <v>15</v>
      </c>
      <c r="B19" s="2" t="s">
        <v>22</v>
      </c>
      <c r="C19" s="2">
        <v>4</v>
      </c>
      <c r="D19" s="2">
        <v>2</v>
      </c>
      <c r="E19" s="2">
        <v>7</v>
      </c>
    </row>
    <row r="20" spans="1:5" ht="15" customHeight="1" x14ac:dyDescent="0.25">
      <c r="A20" s="1">
        <v>16</v>
      </c>
      <c r="B20" s="2" t="s">
        <v>44</v>
      </c>
      <c r="C20" s="2">
        <v>1</v>
      </c>
      <c r="D20" s="2">
        <v>2</v>
      </c>
      <c r="E20" s="2">
        <v>7</v>
      </c>
    </row>
    <row r="21" spans="1:5" ht="15" customHeight="1" x14ac:dyDescent="0.25">
      <c r="A21" s="1">
        <v>17</v>
      </c>
      <c r="B21" s="2" t="s">
        <v>14</v>
      </c>
      <c r="C21" s="2">
        <v>7</v>
      </c>
      <c r="D21" s="2">
        <v>6</v>
      </c>
      <c r="E21" s="2">
        <v>6</v>
      </c>
    </row>
    <row r="22" spans="1:5" ht="15" customHeight="1" x14ac:dyDescent="0.25">
      <c r="A22" s="1">
        <v>18</v>
      </c>
      <c r="B22" s="2" t="s">
        <v>15</v>
      </c>
      <c r="C22" s="2">
        <v>7</v>
      </c>
      <c r="D22" s="2">
        <v>4</v>
      </c>
      <c r="E22" s="2">
        <v>6</v>
      </c>
    </row>
    <row r="23" spans="1:5" ht="15" customHeight="1" x14ac:dyDescent="0.25">
      <c r="A23" s="1">
        <v>19</v>
      </c>
      <c r="B23" s="2" t="s">
        <v>34</v>
      </c>
      <c r="C23" s="2">
        <v>2</v>
      </c>
      <c r="D23" s="2">
        <v>3</v>
      </c>
      <c r="E23" s="2">
        <v>6</v>
      </c>
    </row>
    <row r="24" spans="1:5" ht="15" customHeight="1" x14ac:dyDescent="0.25">
      <c r="A24" s="1">
        <v>20</v>
      </c>
      <c r="B24" s="2" t="s">
        <v>20</v>
      </c>
      <c r="C24" s="2">
        <v>4</v>
      </c>
      <c r="D24" s="2">
        <v>9</v>
      </c>
      <c r="E24" s="2">
        <v>5</v>
      </c>
    </row>
    <row r="25" spans="1:5" ht="15" customHeight="1" x14ac:dyDescent="0.25">
      <c r="A25" s="1">
        <v>21</v>
      </c>
      <c r="B25" s="2" t="s">
        <v>45</v>
      </c>
      <c r="C25" s="2">
        <v>1</v>
      </c>
      <c r="D25" s="2">
        <v>2</v>
      </c>
      <c r="E25" s="2">
        <v>5</v>
      </c>
    </row>
    <row r="26" spans="1:5" ht="15" customHeight="1" x14ac:dyDescent="0.25">
      <c r="A26" s="1">
        <v>22</v>
      </c>
      <c r="B26" s="2" t="s">
        <v>12</v>
      </c>
      <c r="C26" s="2">
        <v>8</v>
      </c>
      <c r="D26" s="2">
        <v>7</v>
      </c>
      <c r="E26" s="2">
        <v>4</v>
      </c>
    </row>
    <row r="27" spans="1:5" ht="15" customHeight="1" x14ac:dyDescent="0.25">
      <c r="A27" s="1">
        <v>23</v>
      </c>
      <c r="B27" s="2" t="s">
        <v>32</v>
      </c>
      <c r="C27" s="2">
        <v>2</v>
      </c>
      <c r="D27" s="2">
        <v>5</v>
      </c>
      <c r="E27" s="2">
        <v>4</v>
      </c>
    </row>
    <row r="28" spans="1:5" ht="15" customHeight="1" x14ac:dyDescent="0.25">
      <c r="A28" s="1">
        <v>24</v>
      </c>
      <c r="B28" s="2" t="s">
        <v>41</v>
      </c>
      <c r="C28" s="2">
        <v>1</v>
      </c>
      <c r="D28" s="2">
        <v>4</v>
      </c>
      <c r="E28" s="2">
        <v>4</v>
      </c>
    </row>
    <row r="29" spans="1:5" ht="15" customHeight="1" x14ac:dyDescent="0.25">
      <c r="A29" s="1">
        <v>25</v>
      </c>
      <c r="B29" s="2" t="s">
        <v>13</v>
      </c>
      <c r="C29" s="2">
        <v>8</v>
      </c>
      <c r="D29" s="2">
        <v>3</v>
      </c>
      <c r="E29" s="2">
        <v>4</v>
      </c>
    </row>
    <row r="30" spans="1:5" ht="15" customHeight="1" x14ac:dyDescent="0.25">
      <c r="A30" s="1">
        <v>26</v>
      </c>
      <c r="B30" s="2" t="s">
        <v>42</v>
      </c>
      <c r="C30" s="2">
        <v>1</v>
      </c>
      <c r="D30" s="2">
        <v>3</v>
      </c>
      <c r="E30" s="2">
        <v>4</v>
      </c>
    </row>
    <row r="31" spans="1:5" ht="15" customHeight="1" x14ac:dyDescent="0.25">
      <c r="A31" s="1">
        <v>27</v>
      </c>
      <c r="B31" s="2" t="s">
        <v>19</v>
      </c>
      <c r="C31" s="2">
        <v>5</v>
      </c>
      <c r="D31" s="2">
        <v>2</v>
      </c>
      <c r="E31" s="2">
        <v>4</v>
      </c>
    </row>
    <row r="32" spans="1:5" ht="15" customHeight="1" x14ac:dyDescent="0.25">
      <c r="A32" s="1">
        <v>28</v>
      </c>
      <c r="B32" s="2" t="s">
        <v>26</v>
      </c>
      <c r="C32" s="2">
        <v>3</v>
      </c>
      <c r="D32" s="2">
        <v>1</v>
      </c>
      <c r="E32" s="2">
        <v>4</v>
      </c>
    </row>
    <row r="33" spans="1:5" ht="15" customHeight="1" x14ac:dyDescent="0.25">
      <c r="A33" s="1">
        <v>29</v>
      </c>
      <c r="B33" s="2" t="s">
        <v>39</v>
      </c>
      <c r="C33" s="2">
        <v>2</v>
      </c>
      <c r="D33" s="2">
        <v>1</v>
      </c>
      <c r="E33" s="2">
        <v>4</v>
      </c>
    </row>
    <row r="34" spans="1:5" ht="15" customHeight="1" x14ac:dyDescent="0.25">
      <c r="A34" s="1">
        <v>30</v>
      </c>
      <c r="B34" s="2" t="s">
        <v>75</v>
      </c>
      <c r="C34" s="2">
        <v>0</v>
      </c>
      <c r="D34" s="2">
        <v>0</v>
      </c>
      <c r="E34" s="2">
        <v>4</v>
      </c>
    </row>
    <row r="35" spans="1:5" ht="15" customHeight="1" x14ac:dyDescent="0.25">
      <c r="A35" s="1">
        <v>31</v>
      </c>
      <c r="B35" s="2" t="s">
        <v>30</v>
      </c>
      <c r="C35" s="2">
        <v>2</v>
      </c>
      <c r="D35" s="2">
        <v>6</v>
      </c>
      <c r="E35" s="2">
        <v>3</v>
      </c>
    </row>
    <row r="36" spans="1:5" ht="15" customHeight="1" x14ac:dyDescent="0.25">
      <c r="A36" s="1">
        <v>32</v>
      </c>
      <c r="B36" s="2" t="s">
        <v>24</v>
      </c>
      <c r="C36" s="2">
        <v>3</v>
      </c>
      <c r="D36" s="2">
        <v>2</v>
      </c>
      <c r="E36" s="2">
        <v>3</v>
      </c>
    </row>
    <row r="37" spans="1:5" ht="15" customHeight="1" x14ac:dyDescent="0.25">
      <c r="A37" s="1">
        <v>33</v>
      </c>
      <c r="B37" s="2" t="s">
        <v>48</v>
      </c>
      <c r="C37" s="2">
        <v>1</v>
      </c>
      <c r="D37" s="2">
        <v>1</v>
      </c>
      <c r="E37" s="2">
        <v>3</v>
      </c>
    </row>
    <row r="38" spans="1:5" ht="15" customHeight="1" x14ac:dyDescent="0.25">
      <c r="A38" s="1">
        <v>34</v>
      </c>
      <c r="B38" s="2" t="s">
        <v>65</v>
      </c>
      <c r="C38" s="2">
        <v>0</v>
      </c>
      <c r="D38" s="2">
        <v>1</v>
      </c>
      <c r="E38" s="2">
        <v>3</v>
      </c>
    </row>
    <row r="39" spans="1:5" ht="15" customHeight="1" x14ac:dyDescent="0.25">
      <c r="A39" s="1">
        <v>35</v>
      </c>
      <c r="B39" s="2" t="s">
        <v>76</v>
      </c>
      <c r="C39" s="2">
        <v>0</v>
      </c>
      <c r="D39" s="2">
        <v>0</v>
      </c>
      <c r="E39" s="2">
        <v>3</v>
      </c>
    </row>
    <row r="40" spans="1:5" ht="15" customHeight="1" x14ac:dyDescent="0.25">
      <c r="A40" s="1">
        <v>36</v>
      </c>
      <c r="B40" s="2" t="s">
        <v>77</v>
      </c>
      <c r="C40" s="2">
        <v>0</v>
      </c>
      <c r="D40" s="2">
        <v>0</v>
      </c>
      <c r="E40" s="2">
        <v>3</v>
      </c>
    </row>
    <row r="41" spans="1:5" ht="15" customHeight="1" x14ac:dyDescent="0.25">
      <c r="A41" s="1">
        <v>37</v>
      </c>
      <c r="B41" s="2" t="s">
        <v>31</v>
      </c>
      <c r="C41" s="2">
        <v>2</v>
      </c>
      <c r="D41" s="2">
        <v>6</v>
      </c>
      <c r="E41" s="2">
        <v>2</v>
      </c>
    </row>
    <row r="42" spans="1:5" ht="15" customHeight="1" x14ac:dyDescent="0.25">
      <c r="A42" s="1">
        <v>38</v>
      </c>
      <c r="B42" s="2" t="s">
        <v>33</v>
      </c>
      <c r="C42" s="2">
        <v>2</v>
      </c>
      <c r="D42" s="2">
        <v>4</v>
      </c>
      <c r="E42" s="2">
        <v>2</v>
      </c>
    </row>
    <row r="43" spans="1:5" ht="15" customHeight="1" x14ac:dyDescent="0.25">
      <c r="A43" s="1">
        <v>39</v>
      </c>
      <c r="B43" s="2" t="s">
        <v>17</v>
      </c>
      <c r="C43" s="2">
        <v>6</v>
      </c>
      <c r="D43" s="2">
        <v>3</v>
      </c>
      <c r="E43" s="2">
        <v>2</v>
      </c>
    </row>
    <row r="44" spans="1:5" ht="15" customHeight="1" x14ac:dyDescent="0.25">
      <c r="A44" s="1">
        <v>40</v>
      </c>
      <c r="B44" s="2" t="s">
        <v>18</v>
      </c>
      <c r="C44" s="2">
        <v>5</v>
      </c>
      <c r="D44" s="2">
        <v>3</v>
      </c>
      <c r="E44" s="2">
        <v>2</v>
      </c>
    </row>
    <row r="45" spans="1:5" ht="15" customHeight="1" x14ac:dyDescent="0.25">
      <c r="A45" s="1">
        <v>41</v>
      </c>
      <c r="B45" s="2" t="s">
        <v>35</v>
      </c>
      <c r="C45" s="2">
        <v>2</v>
      </c>
      <c r="D45" s="2">
        <v>3</v>
      </c>
      <c r="E45" s="2">
        <v>2</v>
      </c>
    </row>
    <row r="46" spans="1:5" ht="15" customHeight="1" x14ac:dyDescent="0.25">
      <c r="A46" s="1">
        <v>42</v>
      </c>
      <c r="B46" s="2" t="s">
        <v>62</v>
      </c>
      <c r="C46" s="2">
        <v>0</v>
      </c>
      <c r="D46" s="2">
        <v>3</v>
      </c>
      <c r="E46" s="2">
        <v>2</v>
      </c>
    </row>
    <row r="47" spans="1:5" ht="15" customHeight="1" x14ac:dyDescent="0.25">
      <c r="A47" s="1">
        <v>43</v>
      </c>
      <c r="B47" s="2" t="s">
        <v>25</v>
      </c>
      <c r="C47" s="2">
        <v>3</v>
      </c>
      <c r="D47" s="2">
        <v>2</v>
      </c>
      <c r="E47" s="2">
        <v>2</v>
      </c>
    </row>
    <row r="48" spans="1:5" ht="15" customHeight="1" x14ac:dyDescent="0.25">
      <c r="A48" s="1">
        <v>44</v>
      </c>
      <c r="B48" s="2" t="s">
        <v>36</v>
      </c>
      <c r="C48" s="2">
        <v>2</v>
      </c>
      <c r="D48" s="2">
        <v>2</v>
      </c>
      <c r="E48" s="2">
        <v>2</v>
      </c>
    </row>
    <row r="49" spans="1:5" ht="15" customHeight="1" x14ac:dyDescent="0.25">
      <c r="A49" s="1">
        <v>45</v>
      </c>
      <c r="B49" s="2" t="s">
        <v>37</v>
      </c>
      <c r="C49" s="2">
        <v>2</v>
      </c>
      <c r="D49" s="2">
        <v>2</v>
      </c>
      <c r="E49" s="2">
        <v>2</v>
      </c>
    </row>
    <row r="50" spans="1:5" ht="15" customHeight="1" x14ac:dyDescent="0.25">
      <c r="A50" s="1">
        <v>46</v>
      </c>
      <c r="B50" s="2" t="s">
        <v>27</v>
      </c>
      <c r="C50" s="2">
        <v>3</v>
      </c>
      <c r="D50" s="2">
        <v>1</v>
      </c>
      <c r="E50" s="2">
        <v>2</v>
      </c>
    </row>
    <row r="51" spans="1:5" ht="15" customHeight="1" x14ac:dyDescent="0.25">
      <c r="A51" s="1">
        <v>47</v>
      </c>
      <c r="B51" s="2" t="s">
        <v>67</v>
      </c>
      <c r="C51" s="2">
        <v>0</v>
      </c>
      <c r="D51" s="2">
        <v>1</v>
      </c>
      <c r="E51" s="2">
        <v>2</v>
      </c>
    </row>
    <row r="52" spans="1:5" ht="15" customHeight="1" x14ac:dyDescent="0.25">
      <c r="A52" s="1">
        <v>48</v>
      </c>
      <c r="B52" s="2" t="s">
        <v>66</v>
      </c>
      <c r="C52" s="2">
        <v>0</v>
      </c>
      <c r="D52" s="2">
        <v>1</v>
      </c>
      <c r="E52" s="2">
        <v>2</v>
      </c>
    </row>
    <row r="53" spans="1:5" ht="15" customHeight="1" x14ac:dyDescent="0.25">
      <c r="A53" s="1">
        <v>49</v>
      </c>
      <c r="B53" s="2" t="s">
        <v>51</v>
      </c>
      <c r="C53" s="2">
        <v>1</v>
      </c>
      <c r="D53" s="2">
        <v>0</v>
      </c>
      <c r="E53" s="2">
        <v>2</v>
      </c>
    </row>
    <row r="54" spans="1:5" ht="15" customHeight="1" x14ac:dyDescent="0.25">
      <c r="A54" s="1">
        <v>50</v>
      </c>
      <c r="B54" s="2" t="s">
        <v>78</v>
      </c>
      <c r="C54" s="2">
        <v>0</v>
      </c>
      <c r="D54" s="2">
        <v>0</v>
      </c>
      <c r="E54" s="2">
        <v>2</v>
      </c>
    </row>
    <row r="55" spans="1:5" ht="15" customHeight="1" x14ac:dyDescent="0.25">
      <c r="A55" s="1">
        <v>51</v>
      </c>
      <c r="B55" s="2" t="s">
        <v>16</v>
      </c>
      <c r="C55" s="2">
        <v>6</v>
      </c>
      <c r="D55" s="2">
        <v>6</v>
      </c>
      <c r="E55" s="2">
        <v>1</v>
      </c>
    </row>
    <row r="56" spans="1:5" ht="15" customHeight="1" x14ac:dyDescent="0.25">
      <c r="A56" s="1">
        <v>52</v>
      </c>
      <c r="B56" s="2" t="s">
        <v>61</v>
      </c>
      <c r="C56" s="2">
        <v>0</v>
      </c>
      <c r="D56" s="2">
        <v>4</v>
      </c>
      <c r="E56" s="2">
        <v>1</v>
      </c>
    </row>
    <row r="57" spans="1:5" ht="15" customHeight="1" x14ac:dyDescent="0.25">
      <c r="A57" s="1">
        <v>53</v>
      </c>
      <c r="B57" s="2" t="s">
        <v>46</v>
      </c>
      <c r="C57" s="2">
        <v>1</v>
      </c>
      <c r="D57" s="2">
        <v>2</v>
      </c>
      <c r="E57" s="2">
        <v>1</v>
      </c>
    </row>
    <row r="58" spans="1:5" ht="15" customHeight="1" x14ac:dyDescent="0.25">
      <c r="A58" s="1">
        <v>54</v>
      </c>
      <c r="B58" s="2" t="s">
        <v>68</v>
      </c>
      <c r="C58" s="2">
        <v>0</v>
      </c>
      <c r="D58" s="2">
        <v>1</v>
      </c>
      <c r="E58" s="2">
        <v>1</v>
      </c>
    </row>
    <row r="59" spans="1:5" ht="15" customHeight="1" x14ac:dyDescent="0.25">
      <c r="A59" s="1">
        <v>55</v>
      </c>
      <c r="B59" s="2" t="s">
        <v>69</v>
      </c>
      <c r="C59" s="2">
        <v>0</v>
      </c>
      <c r="D59" s="2">
        <v>1</v>
      </c>
      <c r="E59" s="2">
        <v>1</v>
      </c>
    </row>
    <row r="60" spans="1:5" ht="15" customHeight="1" x14ac:dyDescent="0.25">
      <c r="A60" s="1">
        <v>56</v>
      </c>
      <c r="B60" s="2" t="s">
        <v>52</v>
      </c>
      <c r="C60" s="2">
        <v>1</v>
      </c>
      <c r="D60" s="2">
        <v>0</v>
      </c>
      <c r="E60" s="2">
        <v>1</v>
      </c>
    </row>
    <row r="61" spans="1:5" ht="15" customHeight="1" x14ac:dyDescent="0.25">
      <c r="A61" s="1">
        <v>57</v>
      </c>
      <c r="B61" s="2" t="s">
        <v>54</v>
      </c>
      <c r="C61" s="2">
        <v>1</v>
      </c>
      <c r="D61" s="2">
        <v>0</v>
      </c>
      <c r="E61" s="2">
        <v>1</v>
      </c>
    </row>
    <row r="62" spans="1:5" ht="15" customHeight="1" x14ac:dyDescent="0.25">
      <c r="A62" s="1">
        <v>58</v>
      </c>
      <c r="B62" s="2" t="s">
        <v>53</v>
      </c>
      <c r="C62" s="2">
        <v>1</v>
      </c>
      <c r="D62" s="2">
        <v>0</v>
      </c>
      <c r="E62" s="2">
        <v>1</v>
      </c>
    </row>
    <row r="63" spans="1:5" ht="15" customHeight="1" x14ac:dyDescent="0.25">
      <c r="A63" s="1">
        <v>59</v>
      </c>
      <c r="B63" s="2" t="s">
        <v>83</v>
      </c>
      <c r="C63" s="2">
        <v>0</v>
      </c>
      <c r="D63" s="2">
        <v>0</v>
      </c>
      <c r="E63" s="2">
        <v>1</v>
      </c>
    </row>
    <row r="64" spans="1:5" ht="15" customHeight="1" x14ac:dyDescent="0.25">
      <c r="A64" s="1">
        <v>60</v>
      </c>
      <c r="B64" s="2" t="s">
        <v>85</v>
      </c>
      <c r="C64" s="2">
        <v>0</v>
      </c>
      <c r="D64" s="2">
        <v>0</v>
      </c>
      <c r="E64" s="2">
        <v>1</v>
      </c>
    </row>
    <row r="65" spans="1:5" ht="15" customHeight="1" x14ac:dyDescent="0.25">
      <c r="A65" s="1">
        <v>61</v>
      </c>
      <c r="B65" s="2" t="s">
        <v>88</v>
      </c>
      <c r="C65" s="2">
        <v>0</v>
      </c>
      <c r="D65" s="2">
        <v>0</v>
      </c>
      <c r="E65" s="2">
        <v>1</v>
      </c>
    </row>
    <row r="66" spans="1:5" ht="15" customHeight="1" x14ac:dyDescent="0.25">
      <c r="A66" s="1">
        <v>62</v>
      </c>
      <c r="B66" s="2" t="s">
        <v>82</v>
      </c>
      <c r="C66" s="2">
        <v>0</v>
      </c>
      <c r="D66" s="2">
        <v>0</v>
      </c>
      <c r="E66" s="2">
        <v>1</v>
      </c>
    </row>
    <row r="67" spans="1:5" ht="15" customHeight="1" x14ac:dyDescent="0.25">
      <c r="A67" s="1">
        <v>63</v>
      </c>
      <c r="B67" s="2" t="s">
        <v>87</v>
      </c>
      <c r="C67" s="2">
        <v>0</v>
      </c>
      <c r="D67" s="2">
        <v>0</v>
      </c>
      <c r="E67" s="2">
        <v>1</v>
      </c>
    </row>
    <row r="68" spans="1:5" ht="15" customHeight="1" x14ac:dyDescent="0.25">
      <c r="A68" s="1">
        <v>64</v>
      </c>
      <c r="B68" s="2" t="s">
        <v>86</v>
      </c>
      <c r="C68" s="2">
        <v>0</v>
      </c>
      <c r="D68" s="2">
        <v>0</v>
      </c>
      <c r="E68" s="2">
        <v>1</v>
      </c>
    </row>
    <row r="69" spans="1:5" ht="15" customHeight="1" x14ac:dyDescent="0.25">
      <c r="A69" s="1">
        <v>65</v>
      </c>
      <c r="B69" s="2" t="s">
        <v>80</v>
      </c>
      <c r="C69" s="2">
        <v>0</v>
      </c>
      <c r="D69" s="2">
        <v>0</v>
      </c>
      <c r="E69" s="2">
        <v>1</v>
      </c>
    </row>
    <row r="70" spans="1:5" ht="15" customHeight="1" x14ac:dyDescent="0.25">
      <c r="A70" s="1">
        <v>66</v>
      </c>
      <c r="B70" s="2" t="s">
        <v>84</v>
      </c>
      <c r="C70" s="2">
        <v>0</v>
      </c>
      <c r="D70" s="2">
        <v>0</v>
      </c>
      <c r="E70" s="2">
        <v>1</v>
      </c>
    </row>
    <row r="71" spans="1:5" ht="15" customHeight="1" x14ac:dyDescent="0.25">
      <c r="A71" s="1">
        <v>67</v>
      </c>
      <c r="B71" s="2" t="s">
        <v>79</v>
      </c>
      <c r="C71" s="2">
        <v>0</v>
      </c>
      <c r="D71" s="2">
        <v>0</v>
      </c>
      <c r="E71" s="2">
        <v>1</v>
      </c>
    </row>
    <row r="72" spans="1:5" ht="15" customHeight="1" x14ac:dyDescent="0.25">
      <c r="A72" s="1">
        <v>68</v>
      </c>
      <c r="B72" s="2" t="s">
        <v>81</v>
      </c>
      <c r="C72" s="2">
        <v>0</v>
      </c>
      <c r="D72" s="2">
        <v>0</v>
      </c>
      <c r="E72" s="2">
        <v>1</v>
      </c>
    </row>
    <row r="73" spans="1:5" ht="15" customHeight="1" x14ac:dyDescent="0.25">
      <c r="A73" s="1">
        <v>69</v>
      </c>
      <c r="B73" s="2" t="s">
        <v>43</v>
      </c>
      <c r="C73" s="2">
        <v>1</v>
      </c>
      <c r="D73" s="2">
        <v>3</v>
      </c>
      <c r="E73" s="2">
        <v>0</v>
      </c>
    </row>
    <row r="74" spans="1:5" ht="15" customHeight="1" x14ac:dyDescent="0.25">
      <c r="A74" s="1">
        <v>70</v>
      </c>
      <c r="B74" s="2" t="s">
        <v>38</v>
      </c>
      <c r="C74" s="2">
        <v>2</v>
      </c>
      <c r="D74" s="2">
        <v>2</v>
      </c>
      <c r="E74" s="2">
        <v>0</v>
      </c>
    </row>
    <row r="75" spans="1:5" ht="15" customHeight="1" x14ac:dyDescent="0.25">
      <c r="A75" s="1">
        <v>71</v>
      </c>
      <c r="B75" s="2" t="s">
        <v>47</v>
      </c>
      <c r="C75" s="2">
        <v>1</v>
      </c>
      <c r="D75" s="2">
        <v>2</v>
      </c>
      <c r="E75" s="2">
        <v>0</v>
      </c>
    </row>
    <row r="76" spans="1:5" ht="15" customHeight="1" x14ac:dyDescent="0.25">
      <c r="A76" s="1">
        <v>72</v>
      </c>
      <c r="B76" s="2" t="s">
        <v>63</v>
      </c>
      <c r="C76" s="2">
        <v>0</v>
      </c>
      <c r="D76" s="2">
        <v>2</v>
      </c>
      <c r="E76" s="2">
        <v>0</v>
      </c>
    </row>
    <row r="77" spans="1:5" ht="15" customHeight="1" x14ac:dyDescent="0.25">
      <c r="A77" s="1">
        <v>73</v>
      </c>
      <c r="B77" s="2" t="s">
        <v>64</v>
      </c>
      <c r="C77" s="2">
        <v>0</v>
      </c>
      <c r="D77" s="2">
        <v>2</v>
      </c>
      <c r="E77" s="2">
        <v>0</v>
      </c>
    </row>
    <row r="78" spans="1:5" ht="15" customHeight="1" x14ac:dyDescent="0.25">
      <c r="A78" s="1">
        <v>74</v>
      </c>
      <c r="B78" s="2" t="s">
        <v>28</v>
      </c>
      <c r="C78" s="2">
        <v>3</v>
      </c>
      <c r="D78" s="2">
        <v>1</v>
      </c>
      <c r="E78" s="2">
        <v>0</v>
      </c>
    </row>
    <row r="79" spans="1:5" ht="15" customHeight="1" x14ac:dyDescent="0.25">
      <c r="A79" s="1">
        <v>75</v>
      </c>
      <c r="B79" s="2" t="s">
        <v>49</v>
      </c>
      <c r="C79" s="2">
        <v>1</v>
      </c>
      <c r="D79" s="2">
        <v>1</v>
      </c>
      <c r="E79" s="2">
        <v>0</v>
      </c>
    </row>
    <row r="80" spans="1:5" ht="15" customHeight="1" x14ac:dyDescent="0.25">
      <c r="A80" s="1">
        <v>76</v>
      </c>
      <c r="B80" s="2" t="s">
        <v>50</v>
      </c>
      <c r="C80" s="2">
        <v>1</v>
      </c>
      <c r="D80" s="2">
        <v>1</v>
      </c>
      <c r="E80" s="2">
        <v>0</v>
      </c>
    </row>
    <row r="81" spans="1:5" ht="15" customHeight="1" x14ac:dyDescent="0.25">
      <c r="A81" s="1">
        <v>77</v>
      </c>
      <c r="B81" s="2" t="s">
        <v>71</v>
      </c>
      <c r="C81" s="2">
        <v>0</v>
      </c>
      <c r="D81" s="2">
        <v>1</v>
      </c>
      <c r="E81" s="2">
        <v>0</v>
      </c>
    </row>
    <row r="82" spans="1:5" ht="15" customHeight="1" x14ac:dyDescent="0.25">
      <c r="A82" s="1">
        <v>78</v>
      </c>
      <c r="B82" s="2" t="s">
        <v>70</v>
      </c>
      <c r="C82" s="2">
        <v>0</v>
      </c>
      <c r="D82" s="2">
        <v>1</v>
      </c>
      <c r="E82" s="2">
        <v>0</v>
      </c>
    </row>
    <row r="83" spans="1:5" ht="15" customHeight="1" x14ac:dyDescent="0.25">
      <c r="A83" s="1">
        <v>79</v>
      </c>
      <c r="B83" s="2" t="s">
        <v>72</v>
      </c>
      <c r="C83" s="2">
        <v>0</v>
      </c>
      <c r="D83" s="2">
        <v>1</v>
      </c>
      <c r="E83" s="2">
        <v>0</v>
      </c>
    </row>
    <row r="84" spans="1:5" ht="15" customHeight="1" x14ac:dyDescent="0.25">
      <c r="A84" s="1">
        <v>80</v>
      </c>
      <c r="B84" s="2" t="s">
        <v>74</v>
      </c>
      <c r="C84" s="2">
        <v>0</v>
      </c>
      <c r="D84" s="2">
        <v>1</v>
      </c>
      <c r="E84" s="2">
        <v>0</v>
      </c>
    </row>
    <row r="85" spans="1:5" ht="15" customHeight="1" x14ac:dyDescent="0.25">
      <c r="A85" s="1">
        <v>81</v>
      </c>
      <c r="B85" s="2" t="s">
        <v>73</v>
      </c>
      <c r="C85" s="2">
        <v>0</v>
      </c>
      <c r="D85" s="2">
        <v>1</v>
      </c>
      <c r="E85" s="2">
        <v>0</v>
      </c>
    </row>
    <row r="86" spans="1:5" ht="15" customHeight="1" x14ac:dyDescent="0.25">
      <c r="A86" s="1">
        <v>82</v>
      </c>
      <c r="B86" s="2" t="s">
        <v>57</v>
      </c>
      <c r="C86" s="2">
        <v>1</v>
      </c>
      <c r="D86" s="2">
        <v>0</v>
      </c>
      <c r="E86" s="2">
        <v>0</v>
      </c>
    </row>
    <row r="87" spans="1:5" ht="15" customHeight="1" x14ac:dyDescent="0.25">
      <c r="A87" s="1">
        <v>83</v>
      </c>
      <c r="B87" s="2" t="s">
        <v>59</v>
      </c>
      <c r="C87" s="2">
        <v>1</v>
      </c>
      <c r="D87" s="2">
        <v>0</v>
      </c>
      <c r="E87" s="2">
        <v>0</v>
      </c>
    </row>
    <row r="88" spans="1:5" ht="15" customHeight="1" x14ac:dyDescent="0.25">
      <c r="A88" s="1">
        <v>84</v>
      </c>
      <c r="B88" s="2" t="s">
        <v>58</v>
      </c>
      <c r="C88" s="2">
        <v>1</v>
      </c>
      <c r="D88" s="2">
        <v>0</v>
      </c>
      <c r="E88" s="2">
        <v>0</v>
      </c>
    </row>
    <row r="89" spans="1:5" ht="15" customHeight="1" x14ac:dyDescent="0.25">
      <c r="A89" s="1">
        <v>85</v>
      </c>
      <c r="B89" s="2" t="s">
        <v>60</v>
      </c>
      <c r="C89" s="2">
        <v>1</v>
      </c>
      <c r="D89" s="2">
        <v>0</v>
      </c>
      <c r="E89" s="2">
        <v>0</v>
      </c>
    </row>
    <row r="90" spans="1:5" ht="15" customHeight="1" x14ac:dyDescent="0.25">
      <c r="A90" s="1">
        <v>86</v>
      </c>
      <c r="B90" s="2" t="s">
        <v>56</v>
      </c>
      <c r="C90" s="2">
        <v>1</v>
      </c>
      <c r="D90" s="2">
        <v>0</v>
      </c>
      <c r="E90" s="2">
        <v>0</v>
      </c>
    </row>
    <row r="91" spans="1:5" ht="15" customHeight="1" x14ac:dyDescent="0.25">
      <c r="A91" s="1">
        <v>87</v>
      </c>
      <c r="B91" s="2" t="s">
        <v>55</v>
      </c>
      <c r="C91" s="2">
        <v>1</v>
      </c>
      <c r="D91" s="2">
        <v>0</v>
      </c>
      <c r="E91" s="2">
        <v>0</v>
      </c>
    </row>
    <row r="92" spans="1:5" ht="15" customHeight="1" x14ac:dyDescent="0.25">
      <c r="A92" s="1">
        <v>88</v>
      </c>
      <c r="B92" s="2" t="s">
        <v>89</v>
      </c>
      <c r="C92" s="2">
        <v>0</v>
      </c>
      <c r="D92" s="2">
        <v>0</v>
      </c>
      <c r="E92" s="2">
        <v>0</v>
      </c>
    </row>
    <row r="93" spans="1:5" ht="15" customHeight="1" x14ac:dyDescent="0.25"/>
  </sheetData>
  <sortState ref="A5:E92">
    <sortCondition descending="1" ref="E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5"/>
  <sheetViews>
    <sheetView workbookViewId="0">
      <selection activeCell="J7" sqref="J7"/>
    </sheetView>
  </sheetViews>
  <sheetFormatPr defaultRowHeight="15" x14ac:dyDescent="0.25"/>
  <cols>
    <col min="1" max="1" width="10.7109375" style="7" bestFit="1" customWidth="1"/>
    <col min="2" max="2" width="10.140625" style="7" bestFit="1" customWidth="1"/>
    <col min="3" max="3" width="5" style="7" bestFit="1" customWidth="1"/>
    <col min="4" max="4" width="14.5703125" style="7" bestFit="1" customWidth="1"/>
    <col min="5" max="5" width="22" style="7" bestFit="1" customWidth="1"/>
    <col min="13" max="13" width="5" bestFit="1" customWidth="1"/>
    <col min="14" max="14" width="18" bestFit="1" customWidth="1"/>
    <col min="15" max="15" width="21.5703125" bestFit="1" customWidth="1"/>
  </cols>
  <sheetData>
    <row r="1" spans="1:15" ht="15.75" x14ac:dyDescent="0.25">
      <c r="A1" s="13" t="s">
        <v>547</v>
      </c>
      <c r="M1" s="8" t="s">
        <v>540</v>
      </c>
      <c r="N1" s="8" t="s">
        <v>541</v>
      </c>
      <c r="O1" s="8" t="s">
        <v>542</v>
      </c>
    </row>
    <row r="2" spans="1:15" ht="15.75" x14ac:dyDescent="0.25">
      <c r="A2" s="13" t="s">
        <v>548</v>
      </c>
      <c r="M2" s="6">
        <v>8128</v>
      </c>
      <c r="N2" s="4" t="s">
        <v>91</v>
      </c>
      <c r="O2" s="5" t="s">
        <v>92</v>
      </c>
    </row>
    <row r="3" spans="1:15" ht="15.75" x14ac:dyDescent="0.25">
      <c r="A3" s="13" t="s">
        <v>549</v>
      </c>
      <c r="M3" s="6">
        <v>8127</v>
      </c>
      <c r="N3" s="4" t="s">
        <v>91</v>
      </c>
      <c r="O3" s="5" t="s">
        <v>92</v>
      </c>
    </row>
    <row r="4" spans="1:15" x14ac:dyDescent="0.25">
      <c r="A4" s="10" t="s">
        <v>543</v>
      </c>
      <c r="B4" s="10" t="s">
        <v>544</v>
      </c>
      <c r="C4" s="10" t="s">
        <v>540</v>
      </c>
      <c r="D4" s="10" t="s">
        <v>541</v>
      </c>
      <c r="E4" s="10" t="s">
        <v>542</v>
      </c>
      <c r="F4" s="10" t="s">
        <v>545</v>
      </c>
      <c r="G4" s="10" t="s">
        <v>546</v>
      </c>
      <c r="M4" s="6">
        <v>5241</v>
      </c>
      <c r="N4" s="4" t="s">
        <v>93</v>
      </c>
      <c r="O4" s="5" t="s">
        <v>94</v>
      </c>
    </row>
    <row r="5" spans="1:15" x14ac:dyDescent="0.25">
      <c r="A5" s="11" t="s">
        <v>511</v>
      </c>
      <c r="B5" s="11" t="s">
        <v>539</v>
      </c>
      <c r="C5" s="12">
        <v>9683</v>
      </c>
      <c r="D5" s="11" t="str">
        <f>VLOOKUP($C5,$M2:$O415,2,0)</f>
        <v>Bejcgyertyános</v>
      </c>
      <c r="E5" s="11" t="str">
        <f>VLOOKUP($D5,$N2:$O415,2,0)</f>
        <v>Vas</v>
      </c>
      <c r="F5" s="11" t="s">
        <v>535</v>
      </c>
      <c r="G5" s="11">
        <v>11</v>
      </c>
      <c r="M5" s="6">
        <v>7678</v>
      </c>
      <c r="N5" s="4" t="s">
        <v>95</v>
      </c>
      <c r="O5" s="5" t="s">
        <v>96</v>
      </c>
    </row>
    <row r="6" spans="1:15" x14ac:dyDescent="0.25">
      <c r="A6" s="11" t="s">
        <v>506</v>
      </c>
      <c r="B6" s="11" t="s">
        <v>539</v>
      </c>
      <c r="C6" s="12">
        <v>6623</v>
      </c>
      <c r="D6" s="11" t="str">
        <f t="shared" ref="D6:D24" si="0">VLOOKUP($C6,$M3:$O416,2,0)</f>
        <v>Árpádhalom</v>
      </c>
      <c r="E6" s="11" t="str">
        <f t="shared" ref="E6:E24" si="1">VLOOKUP($D6,$N3:$O416,2,0)</f>
        <v>Csongrád</v>
      </c>
      <c r="F6" s="11" t="s">
        <v>521</v>
      </c>
      <c r="G6" s="11">
        <v>12</v>
      </c>
      <c r="M6" s="6">
        <v>3261</v>
      </c>
      <c r="N6" s="4" t="s">
        <v>97</v>
      </c>
      <c r="O6" s="5" t="s">
        <v>98</v>
      </c>
    </row>
    <row r="7" spans="1:15" x14ac:dyDescent="0.25">
      <c r="A7" s="11" t="s">
        <v>519</v>
      </c>
      <c r="B7" s="11" t="s">
        <v>539</v>
      </c>
      <c r="C7" s="12">
        <v>7281</v>
      </c>
      <c r="D7" s="11" t="str">
        <f t="shared" si="0"/>
        <v>Bonnya</v>
      </c>
      <c r="E7" s="11" t="str">
        <f t="shared" si="1"/>
        <v>Borsod-Abaúj-Zemplén</v>
      </c>
      <c r="F7" s="11" t="s">
        <v>537</v>
      </c>
      <c r="G7" s="11">
        <v>13</v>
      </c>
      <c r="M7" s="4">
        <v>3882</v>
      </c>
      <c r="N7" s="4" t="s">
        <v>99</v>
      </c>
      <c r="O7" s="5" t="s">
        <v>100</v>
      </c>
    </row>
    <row r="8" spans="1:15" x14ac:dyDescent="0.25">
      <c r="A8" s="11" t="s">
        <v>508</v>
      </c>
      <c r="B8" s="11" t="s">
        <v>539</v>
      </c>
      <c r="C8" s="12">
        <v>8561</v>
      </c>
      <c r="D8" s="11" t="str">
        <f t="shared" si="0"/>
        <v>Adásztevel</v>
      </c>
      <c r="E8" s="11" t="str">
        <f t="shared" si="1"/>
        <v>Veszprém</v>
      </c>
      <c r="F8" s="11" t="s">
        <v>528</v>
      </c>
      <c r="G8" s="11">
        <v>14</v>
      </c>
      <c r="M8" s="4">
        <v>3882</v>
      </c>
      <c r="N8" s="4" t="s">
        <v>101</v>
      </c>
      <c r="O8" s="5" t="s">
        <v>100</v>
      </c>
    </row>
    <row r="9" spans="1:15" x14ac:dyDescent="0.25">
      <c r="A9" s="11" t="s">
        <v>505</v>
      </c>
      <c r="B9" s="11" t="s">
        <v>539</v>
      </c>
      <c r="C9" s="12">
        <v>7834</v>
      </c>
      <c r="D9" s="11" t="str">
        <f t="shared" si="0"/>
        <v>Baksa</v>
      </c>
      <c r="E9" s="11" t="str">
        <f t="shared" si="1"/>
        <v>Baranya</v>
      </c>
      <c r="F9" s="11" t="s">
        <v>532</v>
      </c>
      <c r="G9" s="11">
        <v>15</v>
      </c>
      <c r="M9" s="4">
        <v>3815</v>
      </c>
      <c r="N9" s="4" t="s">
        <v>102</v>
      </c>
      <c r="O9" s="5" t="s">
        <v>100</v>
      </c>
    </row>
    <row r="10" spans="1:15" x14ac:dyDescent="0.25">
      <c r="A10" s="11" t="s">
        <v>500</v>
      </c>
      <c r="B10" s="11" t="s">
        <v>539</v>
      </c>
      <c r="C10" s="12">
        <v>9152</v>
      </c>
      <c r="D10" s="11" t="str">
        <f t="shared" si="0"/>
        <v>Börcs</v>
      </c>
      <c r="E10" s="11" t="str">
        <f t="shared" si="1"/>
        <v>Borsod-Abaúj-Zemplén</v>
      </c>
      <c r="F10" s="11" t="s">
        <v>529</v>
      </c>
      <c r="G10" s="11">
        <v>16</v>
      </c>
      <c r="M10" s="4">
        <v>3881</v>
      </c>
      <c r="N10" s="4" t="s">
        <v>103</v>
      </c>
      <c r="O10" s="5" t="s">
        <v>100</v>
      </c>
    </row>
    <row r="11" spans="1:15" x14ac:dyDescent="0.25">
      <c r="A11" s="11" t="s">
        <v>502</v>
      </c>
      <c r="B11" s="11" t="s">
        <v>539</v>
      </c>
      <c r="C11" s="12">
        <v>7517</v>
      </c>
      <c r="D11" s="11" t="str">
        <f t="shared" si="0"/>
        <v>Bolhás</v>
      </c>
      <c r="E11" s="11" t="str">
        <f t="shared" si="1"/>
        <v>Vas</v>
      </c>
      <c r="F11" s="11" t="s">
        <v>531</v>
      </c>
      <c r="G11" s="11">
        <v>17</v>
      </c>
      <c r="M11" s="4">
        <v>3809</v>
      </c>
      <c r="N11" s="4" t="s">
        <v>104</v>
      </c>
      <c r="O11" s="5" t="s">
        <v>100</v>
      </c>
    </row>
    <row r="12" spans="1:15" x14ac:dyDescent="0.25">
      <c r="A12" s="11" t="s">
        <v>517</v>
      </c>
      <c r="B12" s="11" t="s">
        <v>539</v>
      </c>
      <c r="C12" s="12">
        <v>6528</v>
      </c>
      <c r="D12" s="11" t="str">
        <f t="shared" si="0"/>
        <v>Bátmonostor</v>
      </c>
      <c r="E12" s="11" t="str">
        <f t="shared" si="1"/>
        <v>Bács-Kiskun</v>
      </c>
      <c r="F12" s="11" t="s">
        <v>522</v>
      </c>
      <c r="G12" s="11">
        <v>18</v>
      </c>
      <c r="M12" s="4">
        <v>3898</v>
      </c>
      <c r="N12" s="4" t="s">
        <v>105</v>
      </c>
      <c r="O12" s="5" t="s">
        <v>100</v>
      </c>
    </row>
    <row r="13" spans="1:15" x14ac:dyDescent="0.25">
      <c r="A13" s="11" t="s">
        <v>509</v>
      </c>
      <c r="B13" s="11" t="s">
        <v>539</v>
      </c>
      <c r="C13" s="12">
        <v>2943</v>
      </c>
      <c r="D13" s="11" t="str">
        <f t="shared" si="0"/>
        <v>Bábolna</v>
      </c>
      <c r="E13" s="11" t="str">
        <f t="shared" si="1"/>
        <v>Komárom-Esztergom</v>
      </c>
      <c r="F13" s="11" t="s">
        <v>524</v>
      </c>
      <c r="G13" s="11">
        <v>19</v>
      </c>
      <c r="M13" s="4">
        <v>9151</v>
      </c>
      <c r="N13" s="4" t="s">
        <v>106</v>
      </c>
      <c r="O13" s="5" t="s">
        <v>107</v>
      </c>
    </row>
    <row r="14" spans="1:15" x14ac:dyDescent="0.25">
      <c r="A14" s="11" t="s">
        <v>510</v>
      </c>
      <c r="B14" s="11" t="s">
        <v>539</v>
      </c>
      <c r="C14" s="12">
        <v>4174</v>
      </c>
      <c r="D14" s="11" t="str">
        <f t="shared" si="0"/>
        <v>Bihartorda</v>
      </c>
      <c r="E14" s="11" t="str">
        <f t="shared" si="1"/>
        <v>Hajdú-Bihar</v>
      </c>
      <c r="F14" s="11" t="s">
        <v>524</v>
      </c>
      <c r="G14" s="11">
        <v>20</v>
      </c>
      <c r="M14" s="4">
        <v>3753</v>
      </c>
      <c r="N14" s="4" t="s">
        <v>108</v>
      </c>
      <c r="O14" s="5" t="s">
        <v>100</v>
      </c>
    </row>
    <row r="15" spans="1:15" x14ac:dyDescent="0.25">
      <c r="A15" s="11" t="s">
        <v>518</v>
      </c>
      <c r="B15" s="11" t="s">
        <v>539</v>
      </c>
      <c r="C15" s="12">
        <v>8053</v>
      </c>
      <c r="D15" s="11" t="str">
        <f t="shared" si="0"/>
        <v>Bodajk</v>
      </c>
      <c r="E15" s="11" t="str">
        <f t="shared" si="1"/>
        <v>Baranya</v>
      </c>
      <c r="F15" s="11" t="s">
        <v>520</v>
      </c>
      <c r="G15" s="11">
        <v>21</v>
      </c>
      <c r="M15" s="4">
        <v>2740</v>
      </c>
      <c r="N15" s="4" t="s">
        <v>109</v>
      </c>
      <c r="O15" s="5" t="s">
        <v>110</v>
      </c>
    </row>
    <row r="16" spans="1:15" x14ac:dyDescent="0.25">
      <c r="A16" s="11" t="s">
        <v>501</v>
      </c>
      <c r="B16" s="11" t="s">
        <v>539</v>
      </c>
      <c r="C16" s="12">
        <v>8741</v>
      </c>
      <c r="D16" s="11" t="str">
        <f t="shared" si="0"/>
        <v>Bókaháza</v>
      </c>
      <c r="E16" s="11" t="str">
        <f t="shared" si="1"/>
        <v>Borsod-Abaúj-Zemplén</v>
      </c>
      <c r="F16" s="11" t="s">
        <v>536</v>
      </c>
      <c r="G16" s="11">
        <v>22</v>
      </c>
      <c r="M16" s="4">
        <v>8256</v>
      </c>
      <c r="N16" s="4" t="s">
        <v>111</v>
      </c>
      <c r="O16" s="5" t="s">
        <v>112</v>
      </c>
    </row>
    <row r="17" spans="1:15" x14ac:dyDescent="0.25">
      <c r="A17" s="11" t="s">
        <v>514</v>
      </c>
      <c r="B17" s="11" t="s">
        <v>539</v>
      </c>
      <c r="C17" s="12">
        <v>9675</v>
      </c>
      <c r="D17" s="11" t="str">
        <f t="shared" si="0"/>
        <v>Bögöte</v>
      </c>
      <c r="E17" s="11" t="str">
        <f t="shared" si="1"/>
        <v>Nógrád</v>
      </c>
      <c r="F17" s="11" t="s">
        <v>523</v>
      </c>
      <c r="G17" s="11">
        <v>23</v>
      </c>
      <c r="M17" s="4">
        <v>2941</v>
      </c>
      <c r="N17" s="4" t="s">
        <v>113</v>
      </c>
      <c r="O17" s="5" t="s">
        <v>114</v>
      </c>
    </row>
    <row r="18" spans="1:15" x14ac:dyDescent="0.25">
      <c r="A18" s="11" t="s">
        <v>515</v>
      </c>
      <c r="B18" s="11" t="s">
        <v>539</v>
      </c>
      <c r="C18" s="12">
        <v>9167</v>
      </c>
      <c r="D18" s="11" t="str">
        <f t="shared" si="0"/>
        <v>Bősárkány</v>
      </c>
      <c r="E18" s="11" t="str">
        <f t="shared" si="1"/>
        <v>Somogy</v>
      </c>
      <c r="F18" s="11" t="s">
        <v>538</v>
      </c>
      <c r="G18" s="11">
        <v>24</v>
      </c>
      <c r="M18" s="4">
        <v>2683</v>
      </c>
      <c r="N18" s="4" t="s">
        <v>115</v>
      </c>
      <c r="O18" s="5" t="s">
        <v>110</v>
      </c>
    </row>
    <row r="19" spans="1:15" x14ac:dyDescent="0.25">
      <c r="A19" s="11" t="s">
        <v>516</v>
      </c>
      <c r="B19" s="11" t="s">
        <v>539</v>
      </c>
      <c r="C19" s="12">
        <v>3347</v>
      </c>
      <c r="D19" s="11" t="str">
        <f t="shared" si="0"/>
        <v>Balaton</v>
      </c>
      <c r="E19" s="11" t="str">
        <f t="shared" si="1"/>
        <v>Heves</v>
      </c>
      <c r="F19" s="11" t="s">
        <v>526</v>
      </c>
      <c r="G19" s="11">
        <v>25</v>
      </c>
      <c r="M19" s="4">
        <v>9746</v>
      </c>
      <c r="N19" s="4" t="s">
        <v>116</v>
      </c>
      <c r="O19" s="5" t="s">
        <v>117</v>
      </c>
    </row>
    <row r="20" spans="1:15" x14ac:dyDescent="0.25">
      <c r="A20" s="11" t="s">
        <v>503</v>
      </c>
      <c r="B20" s="11" t="s">
        <v>539</v>
      </c>
      <c r="C20" s="12">
        <v>3032</v>
      </c>
      <c r="D20" s="11" t="str">
        <f t="shared" si="0"/>
        <v>Apc</v>
      </c>
      <c r="E20" s="11" t="str">
        <f t="shared" si="1"/>
        <v>Heves</v>
      </c>
      <c r="F20" s="11" t="s">
        <v>533</v>
      </c>
      <c r="G20" s="11">
        <v>26</v>
      </c>
      <c r="M20" s="4">
        <v>9168</v>
      </c>
      <c r="N20" s="4" t="s">
        <v>118</v>
      </c>
      <c r="O20" s="5" t="s">
        <v>107</v>
      </c>
    </row>
    <row r="21" spans="1:15" x14ac:dyDescent="0.25">
      <c r="A21" s="11" t="s">
        <v>512</v>
      </c>
      <c r="B21" s="11" t="s">
        <v>539</v>
      </c>
      <c r="C21" s="12">
        <v>8893</v>
      </c>
      <c r="D21" s="11" t="str">
        <f t="shared" si="0"/>
        <v>Bucsuta</v>
      </c>
      <c r="E21" s="11" t="str">
        <f t="shared" si="1"/>
        <v>Zala</v>
      </c>
      <c r="F21" s="11" t="s">
        <v>525</v>
      </c>
      <c r="G21" s="11">
        <v>27</v>
      </c>
      <c r="M21" s="4">
        <v>2887</v>
      </c>
      <c r="N21" s="4" t="s">
        <v>119</v>
      </c>
      <c r="O21" s="5" t="s">
        <v>114</v>
      </c>
    </row>
    <row r="22" spans="1:15" x14ac:dyDescent="0.25">
      <c r="A22" s="11" t="s">
        <v>507</v>
      </c>
      <c r="B22" s="11" t="s">
        <v>539</v>
      </c>
      <c r="C22" s="12">
        <v>9727</v>
      </c>
      <c r="D22" s="11" t="str">
        <f t="shared" si="0"/>
        <v>Bozsok</v>
      </c>
      <c r="E22" s="11" t="str">
        <f t="shared" si="1"/>
        <v>Zala</v>
      </c>
      <c r="F22" s="11" t="s">
        <v>527</v>
      </c>
      <c r="G22" s="11">
        <v>28</v>
      </c>
      <c r="M22" s="4">
        <v>3292</v>
      </c>
      <c r="N22" s="4" t="s">
        <v>120</v>
      </c>
      <c r="O22" s="5" t="s">
        <v>98</v>
      </c>
    </row>
    <row r="23" spans="1:15" x14ac:dyDescent="0.25">
      <c r="A23" s="11" t="s">
        <v>504</v>
      </c>
      <c r="B23" s="11" t="s">
        <v>539</v>
      </c>
      <c r="C23" s="12">
        <v>3426</v>
      </c>
      <c r="D23" s="11" t="str">
        <f t="shared" si="0"/>
        <v>Borsodgeszt</v>
      </c>
      <c r="E23" s="11" t="str">
        <f t="shared" si="1"/>
        <v>Baranya</v>
      </c>
      <c r="F23" s="11" t="s">
        <v>530</v>
      </c>
      <c r="G23" s="11">
        <v>29</v>
      </c>
      <c r="M23" s="4">
        <v>8653</v>
      </c>
      <c r="N23" s="4" t="s">
        <v>121</v>
      </c>
      <c r="O23" s="5" t="s">
        <v>122</v>
      </c>
    </row>
    <row r="24" spans="1:15" x14ac:dyDescent="0.25">
      <c r="A24" s="11" t="s">
        <v>513</v>
      </c>
      <c r="B24" s="11" t="s">
        <v>539</v>
      </c>
      <c r="C24" s="12">
        <v>8226</v>
      </c>
      <c r="D24" s="11" t="str">
        <f t="shared" si="0"/>
        <v>Alsóörs</v>
      </c>
      <c r="E24" s="11" t="str">
        <f t="shared" si="1"/>
        <v>Veszprém</v>
      </c>
      <c r="F24" s="11" t="s">
        <v>534</v>
      </c>
      <c r="G24" s="11">
        <v>30</v>
      </c>
      <c r="M24" s="4">
        <v>8561</v>
      </c>
      <c r="N24" s="4" t="s">
        <v>123</v>
      </c>
      <c r="O24" s="5" t="s">
        <v>112</v>
      </c>
    </row>
    <row r="25" spans="1:15" x14ac:dyDescent="0.25">
      <c r="M25" s="4">
        <v>2457</v>
      </c>
      <c r="N25" s="4" t="s">
        <v>124</v>
      </c>
      <c r="O25" s="5" t="s">
        <v>92</v>
      </c>
    </row>
    <row r="26" spans="1:15" x14ac:dyDescent="0.25">
      <c r="M26" s="4">
        <v>8497</v>
      </c>
      <c r="N26" s="4" t="s">
        <v>125</v>
      </c>
      <c r="O26" s="5" t="s">
        <v>112</v>
      </c>
    </row>
    <row r="27" spans="1:15" x14ac:dyDescent="0.25">
      <c r="M27" s="4">
        <v>7841</v>
      </c>
      <c r="N27" s="4" t="s">
        <v>126</v>
      </c>
      <c r="O27" s="5" t="s">
        <v>96</v>
      </c>
    </row>
    <row r="28" spans="1:15" x14ac:dyDescent="0.25">
      <c r="M28" s="4">
        <v>7381</v>
      </c>
      <c r="N28" s="4" t="s">
        <v>127</v>
      </c>
      <c r="O28" s="5" t="s">
        <v>96</v>
      </c>
    </row>
    <row r="29" spans="1:15" x14ac:dyDescent="0.25">
      <c r="M29" s="4">
        <v>6076</v>
      </c>
      <c r="N29" s="4" t="s">
        <v>128</v>
      </c>
      <c r="O29" s="5" t="s">
        <v>129</v>
      </c>
    </row>
    <row r="30" spans="1:15" x14ac:dyDescent="0.25">
      <c r="M30" s="4">
        <v>9423</v>
      </c>
      <c r="N30" s="4" t="s">
        <v>130</v>
      </c>
      <c r="O30" s="5" t="s">
        <v>107</v>
      </c>
    </row>
    <row r="31" spans="1:15" x14ac:dyDescent="0.25">
      <c r="M31" s="4">
        <v>3759</v>
      </c>
      <c r="N31" s="4" t="s">
        <v>131</v>
      </c>
      <c r="O31" s="5" t="s">
        <v>100</v>
      </c>
    </row>
    <row r="32" spans="1:15" x14ac:dyDescent="0.25">
      <c r="M32" s="4">
        <v>9441</v>
      </c>
      <c r="N32" s="4" t="s">
        <v>132</v>
      </c>
      <c r="O32" s="5" t="s">
        <v>107</v>
      </c>
    </row>
    <row r="33" spans="13:15" x14ac:dyDescent="0.25">
      <c r="M33" s="4">
        <v>4524</v>
      </c>
      <c r="N33" s="4" t="s">
        <v>133</v>
      </c>
      <c r="O33" s="5" t="s">
        <v>134</v>
      </c>
    </row>
    <row r="34" spans="13:15" x14ac:dyDescent="0.25">
      <c r="M34" s="4">
        <v>8447</v>
      </c>
      <c r="N34" s="4" t="s">
        <v>135</v>
      </c>
      <c r="O34" s="5" t="s">
        <v>112</v>
      </c>
    </row>
    <row r="35" spans="13:15" x14ac:dyDescent="0.25">
      <c r="M35" s="4">
        <v>8448</v>
      </c>
      <c r="N35" s="4" t="s">
        <v>135</v>
      </c>
      <c r="O35" s="5" t="s">
        <v>112</v>
      </c>
    </row>
    <row r="36" spans="13:15" x14ac:dyDescent="0.25">
      <c r="M36" s="4">
        <v>8451</v>
      </c>
      <c r="N36" s="4" t="s">
        <v>135</v>
      </c>
      <c r="O36" s="5" t="s">
        <v>112</v>
      </c>
    </row>
    <row r="37" spans="13:15" x14ac:dyDescent="0.25">
      <c r="M37" s="4">
        <v>8400</v>
      </c>
      <c r="N37" s="4" t="s">
        <v>135</v>
      </c>
      <c r="O37" s="5" t="s">
        <v>112</v>
      </c>
    </row>
    <row r="38" spans="13:15" x14ac:dyDescent="0.25">
      <c r="M38" s="4">
        <v>2862</v>
      </c>
      <c r="N38" s="4" t="s">
        <v>136</v>
      </c>
      <c r="O38" s="5" t="s">
        <v>114</v>
      </c>
    </row>
    <row r="39" spans="13:15" x14ac:dyDescent="0.25">
      <c r="M39" s="4">
        <v>6221</v>
      </c>
      <c r="N39" s="4" t="s">
        <v>137</v>
      </c>
      <c r="O39" s="5" t="s">
        <v>129</v>
      </c>
    </row>
    <row r="40" spans="13:15" x14ac:dyDescent="0.25">
      <c r="M40" s="4">
        <v>3779</v>
      </c>
      <c r="N40" s="4" t="s">
        <v>138</v>
      </c>
      <c r="O40" s="5" t="s">
        <v>100</v>
      </c>
    </row>
    <row r="41" spans="13:15" x14ac:dyDescent="0.25">
      <c r="M41" s="4">
        <v>7011</v>
      </c>
      <c r="N41" s="4" t="s">
        <v>139</v>
      </c>
      <c r="O41" s="5" t="s">
        <v>92</v>
      </c>
    </row>
    <row r="42" spans="13:15" x14ac:dyDescent="0.25">
      <c r="M42" s="4">
        <v>5142</v>
      </c>
      <c r="N42" s="4" t="s">
        <v>140</v>
      </c>
      <c r="O42" s="5" t="s">
        <v>94</v>
      </c>
    </row>
    <row r="43" spans="13:15" x14ac:dyDescent="0.25">
      <c r="M43" s="4">
        <v>2730</v>
      </c>
      <c r="N43" s="4" t="s">
        <v>141</v>
      </c>
      <c r="O43" s="5" t="s">
        <v>110</v>
      </c>
    </row>
    <row r="44" spans="13:15" x14ac:dyDescent="0.25">
      <c r="M44" s="4">
        <v>8087</v>
      </c>
      <c r="N44" s="4" t="s">
        <v>142</v>
      </c>
      <c r="O44" s="5" t="s">
        <v>92</v>
      </c>
    </row>
    <row r="45" spans="13:15" x14ac:dyDescent="0.25">
      <c r="M45" s="4">
        <v>3353</v>
      </c>
      <c r="N45" s="4" t="s">
        <v>143</v>
      </c>
      <c r="O45" s="5" t="s">
        <v>98</v>
      </c>
    </row>
    <row r="46" spans="13:15" x14ac:dyDescent="0.25">
      <c r="M46" s="4">
        <v>6750</v>
      </c>
      <c r="N46" s="4" t="s">
        <v>144</v>
      </c>
      <c r="O46" s="5" t="s">
        <v>145</v>
      </c>
    </row>
    <row r="47" spans="13:15" x14ac:dyDescent="0.25">
      <c r="M47" s="4">
        <v>8921</v>
      </c>
      <c r="N47" s="4" t="s">
        <v>146</v>
      </c>
      <c r="O47" s="5" t="s">
        <v>147</v>
      </c>
    </row>
    <row r="48" spans="13:15" x14ac:dyDescent="0.25">
      <c r="M48" s="4">
        <v>7934</v>
      </c>
      <c r="N48" s="4" t="s">
        <v>148</v>
      </c>
      <c r="O48" s="5" t="s">
        <v>96</v>
      </c>
    </row>
    <row r="49" spans="13:15" x14ac:dyDescent="0.25">
      <c r="M49" s="4">
        <v>2931</v>
      </c>
      <c r="N49" s="4" t="s">
        <v>149</v>
      </c>
      <c r="O49" s="5" t="s">
        <v>114</v>
      </c>
    </row>
    <row r="50" spans="13:15" x14ac:dyDescent="0.25">
      <c r="M50" s="4">
        <v>8935</v>
      </c>
      <c r="N50" s="4" t="s">
        <v>150</v>
      </c>
      <c r="O50" s="5" t="s">
        <v>147</v>
      </c>
    </row>
    <row r="51" spans="13:15" x14ac:dyDescent="0.25">
      <c r="M51" s="4">
        <v>5747</v>
      </c>
      <c r="N51" s="4" t="s">
        <v>151</v>
      </c>
      <c r="O51" s="5" t="s">
        <v>152</v>
      </c>
    </row>
    <row r="52" spans="13:15" x14ac:dyDescent="0.25">
      <c r="M52" s="4">
        <v>7932</v>
      </c>
      <c r="N52" s="4" t="s">
        <v>153</v>
      </c>
      <c r="O52" s="5" t="s">
        <v>96</v>
      </c>
    </row>
    <row r="53" spans="13:15" x14ac:dyDescent="0.25">
      <c r="M53" s="4">
        <v>4285</v>
      </c>
      <c r="N53" s="4" t="s">
        <v>154</v>
      </c>
      <c r="O53" s="5" t="s">
        <v>155</v>
      </c>
    </row>
    <row r="54" spans="13:15" x14ac:dyDescent="0.25">
      <c r="M54" s="4">
        <v>3985</v>
      </c>
      <c r="N54" s="4" t="s">
        <v>156</v>
      </c>
      <c r="O54" s="5" t="s">
        <v>100</v>
      </c>
    </row>
    <row r="55" spans="13:15" x14ac:dyDescent="0.25">
      <c r="M55" s="4">
        <v>7443</v>
      </c>
      <c r="N55" s="4" t="s">
        <v>157</v>
      </c>
      <c r="O55" s="5" t="s">
        <v>122</v>
      </c>
    </row>
    <row r="56" spans="13:15" x14ac:dyDescent="0.25">
      <c r="M56" s="4">
        <v>3717</v>
      </c>
      <c r="N56" s="4" t="s">
        <v>158</v>
      </c>
      <c r="O56" s="5" t="s">
        <v>100</v>
      </c>
    </row>
    <row r="57" spans="13:15" x14ac:dyDescent="0.25">
      <c r="M57" s="4">
        <v>3837</v>
      </c>
      <c r="N57" s="4" t="s">
        <v>159</v>
      </c>
      <c r="O57" s="5" t="s">
        <v>100</v>
      </c>
    </row>
    <row r="58" spans="13:15" x14ac:dyDescent="0.25">
      <c r="M58" s="4">
        <v>7345</v>
      </c>
      <c r="N58" s="4" t="s">
        <v>160</v>
      </c>
      <c r="O58" s="5" t="s">
        <v>96</v>
      </c>
    </row>
    <row r="59" spans="13:15" x14ac:dyDescent="0.25">
      <c r="M59" s="4">
        <v>7147</v>
      </c>
      <c r="N59" s="4" t="s">
        <v>161</v>
      </c>
      <c r="O59" s="5" t="s">
        <v>162</v>
      </c>
    </row>
    <row r="60" spans="13:15" x14ac:dyDescent="0.25">
      <c r="M60" s="4">
        <v>2351</v>
      </c>
      <c r="N60" s="4" t="s">
        <v>163</v>
      </c>
      <c r="O60" s="5" t="s">
        <v>110</v>
      </c>
    </row>
    <row r="61" spans="13:15" x14ac:dyDescent="0.25">
      <c r="M61" s="4">
        <v>8924</v>
      </c>
      <c r="N61" s="4" t="s">
        <v>164</v>
      </c>
      <c r="O61" s="5" t="s">
        <v>147</v>
      </c>
    </row>
    <row r="62" spans="13:15" x14ac:dyDescent="0.25">
      <c r="M62" s="4">
        <v>7148</v>
      </c>
      <c r="N62" s="4" t="s">
        <v>165</v>
      </c>
      <c r="O62" s="5" t="s">
        <v>162</v>
      </c>
    </row>
    <row r="63" spans="13:15" x14ac:dyDescent="0.25">
      <c r="M63" s="4">
        <v>8226</v>
      </c>
      <c r="N63" s="4" t="s">
        <v>166</v>
      </c>
      <c r="O63" s="5" t="s">
        <v>112</v>
      </c>
    </row>
    <row r="64" spans="13:15" x14ac:dyDescent="0.25">
      <c r="M64" s="4">
        <v>8394</v>
      </c>
      <c r="N64" s="4" t="s">
        <v>167</v>
      </c>
      <c r="O64" s="5" t="s">
        <v>147</v>
      </c>
    </row>
    <row r="65" spans="13:15" x14ac:dyDescent="0.25">
      <c r="M65" s="4">
        <v>2617</v>
      </c>
      <c r="N65" s="4" t="s">
        <v>168</v>
      </c>
      <c r="O65" s="5" t="s">
        <v>169</v>
      </c>
    </row>
    <row r="66" spans="13:15" x14ac:dyDescent="0.25">
      <c r="M66" s="4">
        <v>8767</v>
      </c>
      <c r="N66" s="4" t="s">
        <v>170</v>
      </c>
      <c r="O66" s="5" t="s">
        <v>147</v>
      </c>
    </row>
    <row r="67" spans="13:15" x14ac:dyDescent="0.25">
      <c r="M67" s="4">
        <v>3989</v>
      </c>
      <c r="N67" s="4" t="s">
        <v>171</v>
      </c>
      <c r="O67" s="5" t="s">
        <v>100</v>
      </c>
    </row>
    <row r="68" spans="13:15" x14ac:dyDescent="0.25">
      <c r="M68" s="4">
        <v>8973</v>
      </c>
      <c r="N68" s="4" t="s">
        <v>172</v>
      </c>
      <c r="O68" s="5" t="s">
        <v>147</v>
      </c>
    </row>
    <row r="69" spans="13:15" x14ac:dyDescent="0.25">
      <c r="M69" s="4">
        <v>7012</v>
      </c>
      <c r="N69" s="4" t="s">
        <v>173</v>
      </c>
      <c r="O69" s="5" t="s">
        <v>92</v>
      </c>
    </row>
    <row r="70" spans="13:15" x14ac:dyDescent="0.25">
      <c r="M70" s="4">
        <v>7826</v>
      </c>
      <c r="N70" s="4" t="s">
        <v>174</v>
      </c>
      <c r="O70" s="5" t="s">
        <v>96</v>
      </c>
    </row>
    <row r="71" spans="13:15" x14ac:dyDescent="0.25">
      <c r="M71" s="4">
        <v>9983</v>
      </c>
      <c r="N71" s="4" t="s">
        <v>175</v>
      </c>
      <c r="O71" s="5" t="s">
        <v>117</v>
      </c>
    </row>
    <row r="72" spans="13:15" x14ac:dyDescent="0.25">
      <c r="M72" s="4">
        <v>3726</v>
      </c>
      <c r="N72" s="4" t="s">
        <v>176</v>
      </c>
      <c r="O72" s="5" t="s">
        <v>100</v>
      </c>
    </row>
    <row r="73" spans="13:15" x14ac:dyDescent="0.25">
      <c r="M73" s="4">
        <v>3735</v>
      </c>
      <c r="N73" s="4" t="s">
        <v>177</v>
      </c>
      <c r="O73" s="5" t="s">
        <v>100</v>
      </c>
    </row>
    <row r="74" spans="13:15" x14ac:dyDescent="0.25">
      <c r="M74" s="4">
        <v>3069</v>
      </c>
      <c r="N74" s="4" t="s">
        <v>178</v>
      </c>
      <c r="O74" s="5" t="s">
        <v>169</v>
      </c>
    </row>
    <row r="75" spans="13:15" x14ac:dyDescent="0.25">
      <c r="M75" s="4">
        <v>9842</v>
      </c>
      <c r="N75" s="4" t="s">
        <v>179</v>
      </c>
      <c r="O75" s="5" t="s">
        <v>117</v>
      </c>
    </row>
    <row r="76" spans="13:15" x14ac:dyDescent="0.25">
      <c r="M76" s="4">
        <v>3811</v>
      </c>
      <c r="N76" s="4" t="s">
        <v>180</v>
      </c>
      <c r="O76" s="5" t="s">
        <v>100</v>
      </c>
    </row>
    <row r="77" spans="13:15" x14ac:dyDescent="0.25">
      <c r="M77" s="4">
        <v>3571</v>
      </c>
      <c r="N77" s="4" t="s">
        <v>181</v>
      </c>
      <c r="O77" s="5" t="s">
        <v>100</v>
      </c>
    </row>
    <row r="78" spans="13:15" x14ac:dyDescent="0.25">
      <c r="M78" s="4">
        <v>6916</v>
      </c>
      <c r="N78" s="4" t="s">
        <v>182</v>
      </c>
      <c r="O78" s="5" t="s">
        <v>145</v>
      </c>
    </row>
    <row r="79" spans="13:15" x14ac:dyDescent="0.25">
      <c r="M79" s="4">
        <v>4546</v>
      </c>
      <c r="N79" s="4" t="s">
        <v>183</v>
      </c>
      <c r="O79" s="5" t="s">
        <v>134</v>
      </c>
    </row>
    <row r="80" spans="13:15" x14ac:dyDescent="0.25">
      <c r="M80" s="4">
        <v>8675</v>
      </c>
      <c r="N80" s="4" t="s">
        <v>184</v>
      </c>
      <c r="O80" s="5" t="s">
        <v>122</v>
      </c>
    </row>
    <row r="81" spans="13:15" x14ac:dyDescent="0.25">
      <c r="M81" s="4">
        <v>3399</v>
      </c>
      <c r="N81" s="4" t="s">
        <v>185</v>
      </c>
      <c r="O81" s="5" t="s">
        <v>98</v>
      </c>
    </row>
    <row r="82" spans="13:15" x14ac:dyDescent="0.25">
      <c r="M82" s="4">
        <v>9811</v>
      </c>
      <c r="N82" s="4" t="s">
        <v>186</v>
      </c>
      <c r="O82" s="5" t="s">
        <v>117</v>
      </c>
    </row>
    <row r="83" spans="13:15" x14ac:dyDescent="0.25">
      <c r="M83" s="4">
        <v>2529</v>
      </c>
      <c r="N83" s="4" t="s">
        <v>187</v>
      </c>
      <c r="O83" s="5" t="s">
        <v>114</v>
      </c>
    </row>
    <row r="84" spans="13:15" x14ac:dyDescent="0.25">
      <c r="M84" s="4">
        <v>8477</v>
      </c>
      <c r="N84" s="4" t="s">
        <v>188</v>
      </c>
      <c r="O84" s="5" t="s">
        <v>112</v>
      </c>
    </row>
    <row r="85" spans="13:15" x14ac:dyDescent="0.25">
      <c r="M85" s="4">
        <v>4553</v>
      </c>
      <c r="N85" s="4" t="s">
        <v>189</v>
      </c>
      <c r="O85" s="5" t="s">
        <v>134</v>
      </c>
    </row>
    <row r="86" spans="13:15" x14ac:dyDescent="0.25">
      <c r="M86" s="4">
        <v>2345</v>
      </c>
      <c r="N86" s="4" t="s">
        <v>190</v>
      </c>
      <c r="O86" s="5" t="s">
        <v>110</v>
      </c>
    </row>
    <row r="87" spans="13:15" x14ac:dyDescent="0.25">
      <c r="M87" s="4">
        <v>7186</v>
      </c>
      <c r="N87" s="4" t="s">
        <v>191</v>
      </c>
      <c r="O87" s="5" t="s">
        <v>162</v>
      </c>
    </row>
    <row r="88" spans="13:15" x14ac:dyDescent="0.25">
      <c r="M88" s="4">
        <v>6931</v>
      </c>
      <c r="N88" s="4" t="s">
        <v>192</v>
      </c>
      <c r="O88" s="5" t="s">
        <v>145</v>
      </c>
    </row>
    <row r="89" spans="13:15" x14ac:dyDescent="0.25">
      <c r="M89" s="4">
        <v>9982</v>
      </c>
      <c r="N89" s="4" t="s">
        <v>193</v>
      </c>
      <c r="O89" s="5" t="s">
        <v>117</v>
      </c>
    </row>
    <row r="90" spans="13:15" x14ac:dyDescent="0.25">
      <c r="M90" s="4">
        <v>7720</v>
      </c>
      <c r="N90" s="4" t="s">
        <v>194</v>
      </c>
      <c r="O90" s="5" t="s">
        <v>96</v>
      </c>
    </row>
    <row r="91" spans="13:15" x14ac:dyDescent="0.25">
      <c r="M91" s="4">
        <v>3032</v>
      </c>
      <c r="N91" s="4" t="s">
        <v>195</v>
      </c>
      <c r="O91" s="5" t="s">
        <v>98</v>
      </c>
    </row>
    <row r="92" spans="13:15" x14ac:dyDescent="0.25">
      <c r="M92" s="4">
        <v>2338</v>
      </c>
      <c r="N92" s="4" t="s">
        <v>196</v>
      </c>
      <c r="O92" s="5" t="s">
        <v>110</v>
      </c>
    </row>
    <row r="93" spans="13:15" x14ac:dyDescent="0.25">
      <c r="M93" s="4">
        <v>6088</v>
      </c>
      <c r="N93" s="4" t="s">
        <v>197</v>
      </c>
      <c r="O93" s="5" t="s">
        <v>129</v>
      </c>
    </row>
    <row r="94" spans="13:15" x14ac:dyDescent="0.25">
      <c r="M94" s="4">
        <v>4634</v>
      </c>
      <c r="N94" s="4" t="s">
        <v>198</v>
      </c>
      <c r="O94" s="5" t="s">
        <v>134</v>
      </c>
    </row>
    <row r="95" spans="13:15" x14ac:dyDescent="0.25">
      <c r="M95" s="4">
        <v>7671</v>
      </c>
      <c r="N95" s="4" t="s">
        <v>199</v>
      </c>
      <c r="O95" s="5" t="s">
        <v>96</v>
      </c>
    </row>
    <row r="96" spans="13:15" x14ac:dyDescent="0.25">
      <c r="M96" s="4">
        <v>3885</v>
      </c>
      <c r="N96" s="4" t="s">
        <v>200</v>
      </c>
      <c r="O96" s="5" t="s">
        <v>100</v>
      </c>
    </row>
    <row r="97" spans="13:15" x14ac:dyDescent="0.25">
      <c r="M97" s="4">
        <v>3663</v>
      </c>
      <c r="N97" s="4" t="s">
        <v>201</v>
      </c>
      <c r="O97" s="5" t="s">
        <v>100</v>
      </c>
    </row>
    <row r="98" spans="13:15" x14ac:dyDescent="0.25">
      <c r="M98" s="4">
        <v>3713</v>
      </c>
      <c r="N98" s="4" t="s">
        <v>202</v>
      </c>
      <c r="O98" s="5" t="s">
        <v>100</v>
      </c>
    </row>
    <row r="99" spans="13:15" x14ac:dyDescent="0.25">
      <c r="M99" s="4">
        <v>3467</v>
      </c>
      <c r="N99" s="4" t="s">
        <v>203</v>
      </c>
      <c r="O99" s="5" t="s">
        <v>100</v>
      </c>
    </row>
    <row r="100" spans="13:15" x14ac:dyDescent="0.25">
      <c r="M100" s="4">
        <v>6623</v>
      </c>
      <c r="N100" s="4" t="s">
        <v>204</v>
      </c>
      <c r="O100" s="5" t="s">
        <v>145</v>
      </c>
    </row>
    <row r="101" spans="13:15" x14ac:dyDescent="0.25">
      <c r="M101" s="4">
        <v>9132</v>
      </c>
      <c r="N101" s="4" t="s">
        <v>205</v>
      </c>
      <c r="O101" s="5" t="s">
        <v>107</v>
      </c>
    </row>
    <row r="102" spans="13:15" x14ac:dyDescent="0.25">
      <c r="M102" s="4">
        <v>4115</v>
      </c>
      <c r="N102" s="4" t="s">
        <v>206</v>
      </c>
      <c r="O102" s="5" t="s">
        <v>155</v>
      </c>
    </row>
    <row r="103" spans="13:15" x14ac:dyDescent="0.25">
      <c r="M103" s="4">
        <v>6783</v>
      </c>
      <c r="N103" s="4" t="s">
        <v>207</v>
      </c>
      <c r="O103" s="5" t="s">
        <v>145</v>
      </c>
    </row>
    <row r="104" spans="13:15" x14ac:dyDescent="0.25">
      <c r="M104" s="4">
        <v>9177</v>
      </c>
      <c r="N104" s="4" t="s">
        <v>208</v>
      </c>
      <c r="O104" s="5" t="s">
        <v>107</v>
      </c>
    </row>
    <row r="105" spans="13:15" x14ac:dyDescent="0.25">
      <c r="M105" s="4">
        <v>3841</v>
      </c>
      <c r="N105" s="4" t="s">
        <v>209</v>
      </c>
      <c r="O105" s="5" t="s">
        <v>100</v>
      </c>
    </row>
    <row r="106" spans="13:15" x14ac:dyDescent="0.25">
      <c r="M106" s="4">
        <v>2170</v>
      </c>
      <c r="N106" s="4" t="s">
        <v>210</v>
      </c>
      <c r="O106" s="5" t="s">
        <v>110</v>
      </c>
    </row>
    <row r="107" spans="13:15" x14ac:dyDescent="0.25">
      <c r="M107" s="4">
        <v>8241</v>
      </c>
      <c r="N107" s="4" t="s">
        <v>211</v>
      </c>
      <c r="O107" s="5" t="s">
        <v>112</v>
      </c>
    </row>
    <row r="108" spans="13:15" x14ac:dyDescent="0.25">
      <c r="M108" s="4">
        <v>7763</v>
      </c>
      <c r="N108" s="4" t="s">
        <v>212</v>
      </c>
      <c r="O108" s="5" t="s">
        <v>96</v>
      </c>
    </row>
    <row r="109" spans="13:15" x14ac:dyDescent="0.25">
      <c r="M109" s="4">
        <v>3371</v>
      </c>
      <c r="N109" s="4" t="s">
        <v>213</v>
      </c>
      <c r="O109" s="5" t="s">
        <v>98</v>
      </c>
    </row>
    <row r="110" spans="13:15" x14ac:dyDescent="0.25">
      <c r="M110" s="4">
        <v>3213</v>
      </c>
      <c r="N110" s="4" t="s">
        <v>214</v>
      </c>
      <c r="O110" s="5" t="s">
        <v>98</v>
      </c>
    </row>
    <row r="111" spans="13:15" x14ac:dyDescent="0.25">
      <c r="M111" s="4">
        <v>7252</v>
      </c>
      <c r="N111" s="4" t="s">
        <v>215</v>
      </c>
      <c r="O111" s="5" t="s">
        <v>162</v>
      </c>
    </row>
    <row r="112" spans="13:15" x14ac:dyDescent="0.25">
      <c r="M112" s="4">
        <v>7757</v>
      </c>
      <c r="N112" s="4" t="s">
        <v>216</v>
      </c>
      <c r="O112" s="5" t="s">
        <v>96</v>
      </c>
    </row>
    <row r="113" spans="13:15" x14ac:dyDescent="0.25">
      <c r="M113" s="4">
        <v>7814</v>
      </c>
      <c r="N113" s="4" t="s">
        <v>217</v>
      </c>
      <c r="O113" s="5" t="s">
        <v>96</v>
      </c>
    </row>
    <row r="114" spans="13:15" x14ac:dyDescent="0.25">
      <c r="M114" s="4">
        <v>7584</v>
      </c>
      <c r="N114" s="4" t="s">
        <v>218</v>
      </c>
      <c r="O114" s="5" t="s">
        <v>122</v>
      </c>
    </row>
    <row r="115" spans="13:15" x14ac:dyDescent="0.25">
      <c r="M115" s="4">
        <v>2943</v>
      </c>
      <c r="N115" s="4" t="s">
        <v>219</v>
      </c>
      <c r="O115" s="5" t="s">
        <v>114</v>
      </c>
    </row>
    <row r="116" spans="13:15" x14ac:dyDescent="0.25">
      <c r="M116" s="4">
        <v>8658</v>
      </c>
      <c r="N116" s="4" t="s">
        <v>220</v>
      </c>
      <c r="O116" s="5" t="s">
        <v>122</v>
      </c>
    </row>
    <row r="117" spans="13:15" x14ac:dyDescent="0.25">
      <c r="M117" s="4">
        <v>8983</v>
      </c>
      <c r="N117" s="4" t="s">
        <v>221</v>
      </c>
      <c r="O117" s="5" t="s">
        <v>147</v>
      </c>
    </row>
    <row r="118" spans="13:15" x14ac:dyDescent="0.25">
      <c r="M118" s="4">
        <v>9351</v>
      </c>
      <c r="N118" s="4" t="s">
        <v>222</v>
      </c>
      <c r="O118" s="5" t="s">
        <v>107</v>
      </c>
    </row>
    <row r="119" spans="13:15" x14ac:dyDescent="0.25">
      <c r="M119" s="4">
        <v>6430</v>
      </c>
      <c r="N119" s="4" t="s">
        <v>223</v>
      </c>
      <c r="O119" s="5" t="s">
        <v>129</v>
      </c>
    </row>
    <row r="120" spans="13:15" x14ac:dyDescent="0.25">
      <c r="M120" s="4">
        <v>6453</v>
      </c>
      <c r="N120" s="4" t="s">
        <v>224</v>
      </c>
      <c r="O120" s="5" t="s">
        <v>129</v>
      </c>
    </row>
    <row r="121" spans="13:15" x14ac:dyDescent="0.25">
      <c r="M121" s="4">
        <v>6454</v>
      </c>
      <c r="N121" s="4" t="s">
        <v>225</v>
      </c>
      <c r="O121" s="5" t="s">
        <v>129</v>
      </c>
    </row>
    <row r="122" spans="13:15" x14ac:dyDescent="0.25">
      <c r="M122" s="4">
        <v>6511</v>
      </c>
      <c r="N122" s="4" t="s">
        <v>226</v>
      </c>
      <c r="O122" s="5" t="s">
        <v>129</v>
      </c>
    </row>
    <row r="123" spans="13:15" x14ac:dyDescent="0.25">
      <c r="M123" s="4">
        <v>6425</v>
      </c>
      <c r="N123" s="4" t="s">
        <v>227</v>
      </c>
      <c r="O123" s="5" t="s">
        <v>129</v>
      </c>
    </row>
    <row r="124" spans="13:15" x14ac:dyDescent="0.25">
      <c r="M124" s="4">
        <v>8261</v>
      </c>
      <c r="N124" s="4" t="s">
        <v>228</v>
      </c>
      <c r="O124" s="5" t="s">
        <v>112</v>
      </c>
    </row>
    <row r="125" spans="13:15" x14ac:dyDescent="0.25">
      <c r="M125" s="4">
        <v>8257</v>
      </c>
      <c r="N125" s="4" t="s">
        <v>228</v>
      </c>
      <c r="O125" s="5" t="s">
        <v>112</v>
      </c>
    </row>
    <row r="126" spans="13:15" x14ac:dyDescent="0.25">
      <c r="M126" s="4">
        <v>8258</v>
      </c>
      <c r="N126" s="4" t="s">
        <v>228</v>
      </c>
      <c r="O126" s="5" t="s">
        <v>112</v>
      </c>
    </row>
    <row r="127" spans="13:15" x14ac:dyDescent="0.25">
      <c r="M127" s="4">
        <v>8262</v>
      </c>
      <c r="N127" s="4" t="s">
        <v>229</v>
      </c>
      <c r="O127" s="5" t="s">
        <v>112</v>
      </c>
    </row>
    <row r="128" spans="13:15" x14ac:dyDescent="0.25">
      <c r="M128" s="4">
        <v>8263</v>
      </c>
      <c r="N128" s="4" t="s">
        <v>229</v>
      </c>
      <c r="O128" s="5" t="s">
        <v>112</v>
      </c>
    </row>
    <row r="129" spans="13:15" x14ac:dyDescent="0.25">
      <c r="M129" s="4">
        <v>2191</v>
      </c>
      <c r="N129" s="4" t="s">
        <v>230</v>
      </c>
      <c r="O129" s="5" t="s">
        <v>110</v>
      </c>
    </row>
    <row r="130" spans="13:15" x14ac:dyDescent="0.25">
      <c r="M130" s="4">
        <v>4286</v>
      </c>
      <c r="N130" s="4" t="s">
        <v>231</v>
      </c>
      <c r="O130" s="5" t="s">
        <v>155</v>
      </c>
    </row>
    <row r="131" spans="13:15" x14ac:dyDescent="0.25">
      <c r="M131" s="4">
        <v>8977</v>
      </c>
      <c r="N131" s="4" t="s">
        <v>232</v>
      </c>
      <c r="O131" s="5" t="s">
        <v>147</v>
      </c>
    </row>
    <row r="132" spans="13:15" x14ac:dyDescent="0.25">
      <c r="M132" s="4">
        <v>8992</v>
      </c>
      <c r="N132" s="4" t="s">
        <v>233</v>
      </c>
      <c r="O132" s="5" t="s">
        <v>147</v>
      </c>
    </row>
    <row r="133" spans="13:15" x14ac:dyDescent="0.25">
      <c r="M133" s="4">
        <v>9145</v>
      </c>
      <c r="N133" s="4" t="s">
        <v>234</v>
      </c>
      <c r="O133" s="5" t="s">
        <v>107</v>
      </c>
    </row>
    <row r="134" spans="13:15" x14ac:dyDescent="0.25">
      <c r="M134" s="4">
        <v>2836</v>
      </c>
      <c r="N134" s="4" t="s">
        <v>235</v>
      </c>
      <c r="O134" s="5" t="s">
        <v>114</v>
      </c>
    </row>
    <row r="135" spans="13:15" x14ac:dyDescent="0.25">
      <c r="M135" s="4">
        <v>6503</v>
      </c>
      <c r="N135" s="4" t="s">
        <v>236</v>
      </c>
      <c r="O135" s="5" t="s">
        <v>129</v>
      </c>
    </row>
    <row r="136" spans="13:15" x14ac:dyDescent="0.25">
      <c r="M136" s="4">
        <v>6500</v>
      </c>
      <c r="N136" s="4" t="s">
        <v>236</v>
      </c>
      <c r="O136" s="5" t="s">
        <v>129</v>
      </c>
    </row>
    <row r="137" spans="13:15" x14ac:dyDescent="0.25">
      <c r="M137" s="4">
        <v>9944</v>
      </c>
      <c r="N137" s="4" t="s">
        <v>237</v>
      </c>
      <c r="O137" s="5" t="s">
        <v>117</v>
      </c>
    </row>
    <row r="138" spans="13:15" x14ac:dyDescent="0.25">
      <c r="M138" s="4">
        <v>2525</v>
      </c>
      <c r="N138" s="4" t="s">
        <v>238</v>
      </c>
      <c r="O138" s="5" t="s">
        <v>114</v>
      </c>
    </row>
    <row r="139" spans="13:15" x14ac:dyDescent="0.25">
      <c r="M139" s="4">
        <v>2533</v>
      </c>
      <c r="N139" s="4" t="s">
        <v>239</v>
      </c>
      <c r="O139" s="5" t="s">
        <v>114</v>
      </c>
    </row>
    <row r="140" spans="13:15" x14ac:dyDescent="0.25">
      <c r="M140" s="4">
        <v>8945</v>
      </c>
      <c r="N140" s="4" t="s">
        <v>240</v>
      </c>
      <c r="O140" s="5" t="s">
        <v>147</v>
      </c>
    </row>
    <row r="141" spans="13:15" x14ac:dyDescent="0.25">
      <c r="M141" s="4">
        <v>7585</v>
      </c>
      <c r="N141" s="4" t="s">
        <v>241</v>
      </c>
      <c r="O141" s="5" t="s">
        <v>122</v>
      </c>
    </row>
    <row r="142" spans="13:15" x14ac:dyDescent="0.25">
      <c r="M142" s="4">
        <v>7393</v>
      </c>
      <c r="N142" s="4" t="s">
        <v>242</v>
      </c>
      <c r="O142" s="5" t="s">
        <v>96</v>
      </c>
    </row>
    <row r="143" spans="13:15" x14ac:dyDescent="0.25">
      <c r="M143" s="4">
        <v>4164</v>
      </c>
      <c r="N143" s="4" t="s">
        <v>243</v>
      </c>
      <c r="O143" s="5" t="s">
        <v>155</v>
      </c>
    </row>
    <row r="144" spans="13:15" x14ac:dyDescent="0.25">
      <c r="M144" s="4">
        <v>7675</v>
      </c>
      <c r="N144" s="4" t="s">
        <v>244</v>
      </c>
      <c r="O144" s="5" t="s">
        <v>96</v>
      </c>
    </row>
    <row r="145" spans="13:15" x14ac:dyDescent="0.25">
      <c r="M145" s="4">
        <v>2885</v>
      </c>
      <c r="N145" s="4" t="s">
        <v>245</v>
      </c>
      <c r="O145" s="5" t="s">
        <v>114</v>
      </c>
    </row>
    <row r="146" spans="13:15" x14ac:dyDescent="0.25">
      <c r="M146" s="4">
        <v>8427</v>
      </c>
      <c r="N146" s="4" t="s">
        <v>246</v>
      </c>
      <c r="O146" s="5" t="s">
        <v>112</v>
      </c>
    </row>
    <row r="147" spans="13:15" x14ac:dyDescent="0.25">
      <c r="M147" s="4">
        <v>8056</v>
      </c>
      <c r="N147" s="4" t="s">
        <v>247</v>
      </c>
      <c r="O147" s="5" t="s">
        <v>92</v>
      </c>
    </row>
    <row r="148" spans="13:15" x14ac:dyDescent="0.25">
      <c r="M148" s="4">
        <v>8433</v>
      </c>
      <c r="N148" s="4" t="s">
        <v>248</v>
      </c>
      <c r="O148" s="5" t="s">
        <v>112</v>
      </c>
    </row>
    <row r="149" spans="13:15" x14ac:dyDescent="0.25">
      <c r="M149" s="4">
        <v>8581</v>
      </c>
      <c r="N149" s="4" t="s">
        <v>249</v>
      </c>
      <c r="O149" s="5" t="s">
        <v>112</v>
      </c>
    </row>
    <row r="150" spans="13:15" x14ac:dyDescent="0.25">
      <c r="M150" s="4">
        <v>8571</v>
      </c>
      <c r="N150" s="4" t="s">
        <v>250</v>
      </c>
      <c r="O150" s="5" t="s">
        <v>112</v>
      </c>
    </row>
    <row r="151" spans="13:15" x14ac:dyDescent="0.25">
      <c r="M151" s="4">
        <v>8045</v>
      </c>
      <c r="N151" s="4" t="s">
        <v>251</v>
      </c>
      <c r="O151" s="5" t="s">
        <v>92</v>
      </c>
    </row>
    <row r="152" spans="13:15" x14ac:dyDescent="0.25">
      <c r="M152" s="4">
        <v>8422</v>
      </c>
      <c r="N152" s="4" t="s">
        <v>252</v>
      </c>
      <c r="O152" s="5" t="s">
        <v>112</v>
      </c>
    </row>
    <row r="153" spans="13:15" x14ac:dyDescent="0.25">
      <c r="M153" s="4">
        <v>8418</v>
      </c>
      <c r="N153" s="4" t="s">
        <v>253</v>
      </c>
      <c r="O153" s="5" t="s">
        <v>112</v>
      </c>
    </row>
    <row r="154" spans="13:15" x14ac:dyDescent="0.25">
      <c r="M154" s="4">
        <v>9088</v>
      </c>
      <c r="N154" s="4" t="s">
        <v>254</v>
      </c>
      <c r="O154" s="5" t="s">
        <v>107</v>
      </c>
    </row>
    <row r="155" spans="13:15" x14ac:dyDescent="0.25">
      <c r="M155" s="4">
        <v>8457</v>
      </c>
      <c r="N155" s="4" t="s">
        <v>255</v>
      </c>
      <c r="O155" s="5" t="s">
        <v>112</v>
      </c>
    </row>
    <row r="156" spans="13:15" x14ac:dyDescent="0.25">
      <c r="M156" s="4">
        <v>8557</v>
      </c>
      <c r="N156" s="4" t="s">
        <v>256</v>
      </c>
      <c r="O156" s="5" t="s">
        <v>112</v>
      </c>
    </row>
    <row r="157" spans="13:15" x14ac:dyDescent="0.25">
      <c r="M157" s="4">
        <v>2861</v>
      </c>
      <c r="N157" s="4" t="s">
        <v>257</v>
      </c>
      <c r="O157" s="5" t="s">
        <v>114</v>
      </c>
    </row>
    <row r="158" spans="13:15" x14ac:dyDescent="0.25">
      <c r="M158" s="4">
        <v>8557</v>
      </c>
      <c r="N158" s="4" t="s">
        <v>258</v>
      </c>
      <c r="O158" s="5" t="s">
        <v>112</v>
      </c>
    </row>
    <row r="159" spans="13:15" x14ac:dyDescent="0.25">
      <c r="M159" s="4">
        <v>8430</v>
      </c>
      <c r="N159" s="4" t="s">
        <v>259</v>
      </c>
      <c r="O159" s="5" t="s">
        <v>112</v>
      </c>
    </row>
    <row r="160" spans="13:15" x14ac:dyDescent="0.25">
      <c r="M160" s="4">
        <v>8431</v>
      </c>
      <c r="N160" s="4" t="s">
        <v>260</v>
      </c>
      <c r="O160" s="5" t="s">
        <v>112</v>
      </c>
    </row>
    <row r="161" spans="13:15" x14ac:dyDescent="0.25">
      <c r="M161" s="4">
        <v>2884</v>
      </c>
      <c r="N161" s="4" t="s">
        <v>261</v>
      </c>
      <c r="O161" s="5" t="s">
        <v>114</v>
      </c>
    </row>
    <row r="162" spans="13:15" x14ac:dyDescent="0.25">
      <c r="M162" s="4">
        <v>8572</v>
      </c>
      <c r="N162" s="4" t="s">
        <v>262</v>
      </c>
      <c r="O162" s="5" t="s">
        <v>112</v>
      </c>
    </row>
    <row r="163" spans="13:15" x14ac:dyDescent="0.25">
      <c r="M163" s="4">
        <v>8555</v>
      </c>
      <c r="N163" s="4" t="s">
        <v>263</v>
      </c>
      <c r="O163" s="5" t="s">
        <v>112</v>
      </c>
    </row>
    <row r="164" spans="13:15" x14ac:dyDescent="0.25">
      <c r="M164" s="4">
        <v>6768</v>
      </c>
      <c r="N164" s="4" t="s">
        <v>264</v>
      </c>
      <c r="O164" s="5" t="s">
        <v>145</v>
      </c>
    </row>
    <row r="165" spans="13:15" x14ac:dyDescent="0.25">
      <c r="M165" s="4">
        <v>7834</v>
      </c>
      <c r="N165" s="4" t="s">
        <v>265</v>
      </c>
      <c r="O165" s="5" t="s">
        <v>96</v>
      </c>
    </row>
    <row r="166" spans="13:15" x14ac:dyDescent="0.25">
      <c r="M166" s="4">
        <v>3836</v>
      </c>
      <c r="N166" s="4" t="s">
        <v>266</v>
      </c>
      <c r="O166" s="5" t="s">
        <v>100</v>
      </c>
    </row>
    <row r="167" spans="13:15" x14ac:dyDescent="0.25">
      <c r="M167" s="4">
        <v>4561</v>
      </c>
      <c r="N167" s="4" t="s">
        <v>267</v>
      </c>
      <c r="O167" s="5" t="s">
        <v>134</v>
      </c>
    </row>
    <row r="168" spans="13:15" x14ac:dyDescent="0.25">
      <c r="M168" s="4">
        <v>8946</v>
      </c>
      <c r="N168" s="4" t="s">
        <v>268</v>
      </c>
      <c r="O168" s="5" t="s">
        <v>147</v>
      </c>
    </row>
    <row r="169" spans="13:15" x14ac:dyDescent="0.25">
      <c r="M169" s="4">
        <v>3780</v>
      </c>
      <c r="N169" s="4" t="s">
        <v>269</v>
      </c>
      <c r="O169" s="5" t="s">
        <v>100</v>
      </c>
    </row>
    <row r="170" spans="13:15" x14ac:dyDescent="0.25">
      <c r="M170" s="4">
        <v>2660</v>
      </c>
      <c r="N170" s="4" t="s">
        <v>270</v>
      </c>
      <c r="O170" s="5" t="s">
        <v>169</v>
      </c>
    </row>
    <row r="171" spans="13:15" x14ac:dyDescent="0.25">
      <c r="M171" s="4">
        <v>6764</v>
      </c>
      <c r="N171" s="4" t="s">
        <v>271</v>
      </c>
      <c r="O171" s="5" t="s">
        <v>145</v>
      </c>
    </row>
    <row r="172" spans="13:15" x14ac:dyDescent="0.25">
      <c r="M172" s="4">
        <v>3347</v>
      </c>
      <c r="N172" s="4" t="s">
        <v>272</v>
      </c>
      <c r="O172" s="5" t="s">
        <v>98</v>
      </c>
    </row>
    <row r="173" spans="13:15" x14ac:dyDescent="0.25">
      <c r="M173" s="4">
        <v>8243</v>
      </c>
      <c r="N173" s="4" t="s">
        <v>273</v>
      </c>
      <c r="O173" s="5" t="s">
        <v>112</v>
      </c>
    </row>
    <row r="174" spans="13:15" x14ac:dyDescent="0.25">
      <c r="M174" s="4">
        <v>8220</v>
      </c>
      <c r="N174" s="4" t="s">
        <v>274</v>
      </c>
      <c r="O174" s="5" t="s">
        <v>112</v>
      </c>
    </row>
    <row r="175" spans="13:15" x14ac:dyDescent="0.25">
      <c r="M175" s="4">
        <v>8649</v>
      </c>
      <c r="N175" s="4" t="s">
        <v>275</v>
      </c>
      <c r="O175" s="5" t="s">
        <v>122</v>
      </c>
    </row>
    <row r="176" spans="13:15" x14ac:dyDescent="0.25">
      <c r="M176" s="4">
        <v>8691</v>
      </c>
      <c r="N176" s="4" t="s">
        <v>276</v>
      </c>
      <c r="O176" s="5" t="s">
        <v>122</v>
      </c>
    </row>
    <row r="177" spans="13:15" x14ac:dyDescent="0.25">
      <c r="M177" s="4">
        <v>8630</v>
      </c>
      <c r="N177" s="4" t="s">
        <v>276</v>
      </c>
      <c r="O177" s="5" t="s">
        <v>122</v>
      </c>
    </row>
    <row r="178" spans="13:15" x14ac:dyDescent="0.25">
      <c r="M178" s="4">
        <v>8272</v>
      </c>
      <c r="N178" s="4" t="s">
        <v>277</v>
      </c>
      <c r="O178" s="5" t="s">
        <v>112</v>
      </c>
    </row>
    <row r="179" spans="13:15" x14ac:dyDescent="0.25">
      <c r="M179" s="4">
        <v>8312</v>
      </c>
      <c r="N179" s="4" t="s">
        <v>278</v>
      </c>
      <c r="O179" s="5" t="s">
        <v>112</v>
      </c>
    </row>
    <row r="180" spans="13:15" x14ac:dyDescent="0.25">
      <c r="M180" s="4">
        <v>8613</v>
      </c>
      <c r="N180" s="4" t="s">
        <v>279</v>
      </c>
      <c r="O180" s="5" t="s">
        <v>122</v>
      </c>
    </row>
    <row r="181" spans="13:15" x14ac:dyDescent="0.25">
      <c r="M181" s="4">
        <v>8646</v>
      </c>
      <c r="N181" s="4" t="s">
        <v>280</v>
      </c>
      <c r="O181" s="5" t="s">
        <v>122</v>
      </c>
    </row>
    <row r="182" spans="13:15" x14ac:dyDescent="0.25">
      <c r="M182" s="4">
        <v>8164</v>
      </c>
      <c r="N182" s="4" t="s">
        <v>281</v>
      </c>
      <c r="O182" s="5" t="s">
        <v>112</v>
      </c>
    </row>
    <row r="183" spans="13:15" x14ac:dyDescent="0.25">
      <c r="M183" s="4">
        <v>8623</v>
      </c>
      <c r="N183" s="4" t="s">
        <v>282</v>
      </c>
      <c r="O183" s="5" t="s">
        <v>122</v>
      </c>
    </row>
    <row r="184" spans="13:15" x14ac:dyDescent="0.25">
      <c r="M184" s="4">
        <v>8236</v>
      </c>
      <c r="N184" s="4" t="s">
        <v>283</v>
      </c>
      <c r="O184" s="5" t="s">
        <v>112</v>
      </c>
    </row>
    <row r="185" spans="13:15" x14ac:dyDescent="0.25">
      <c r="M185" s="4">
        <v>8230</v>
      </c>
      <c r="N185" s="4" t="s">
        <v>283</v>
      </c>
      <c r="O185" s="5" t="s">
        <v>112</v>
      </c>
    </row>
    <row r="186" spans="13:15" x14ac:dyDescent="0.25">
      <c r="M186" s="4">
        <v>8184</v>
      </c>
      <c r="N186" s="4" t="s">
        <v>284</v>
      </c>
      <c r="O186" s="5" t="s">
        <v>112</v>
      </c>
    </row>
    <row r="187" spans="13:15" x14ac:dyDescent="0.25">
      <c r="M187" s="4">
        <v>8175</v>
      </c>
      <c r="N187" s="4" t="s">
        <v>284</v>
      </c>
      <c r="O187" s="5" t="s">
        <v>112</v>
      </c>
    </row>
    <row r="188" spans="13:15" x14ac:dyDescent="0.25">
      <c r="M188" s="4">
        <v>8313</v>
      </c>
      <c r="N188" s="4" t="s">
        <v>285</v>
      </c>
      <c r="O188" s="5" t="s">
        <v>147</v>
      </c>
    </row>
    <row r="189" spans="13:15" x14ac:dyDescent="0.25">
      <c r="M189" s="4">
        <v>8275</v>
      </c>
      <c r="N189" s="4" t="s">
        <v>286</v>
      </c>
      <c r="O189" s="5" t="s">
        <v>112</v>
      </c>
    </row>
    <row r="190" spans="13:15" x14ac:dyDescent="0.25">
      <c r="M190" s="4">
        <v>8172</v>
      </c>
      <c r="N190" s="4" t="s">
        <v>287</v>
      </c>
      <c r="O190" s="5" t="s">
        <v>112</v>
      </c>
    </row>
    <row r="191" spans="13:15" x14ac:dyDescent="0.25">
      <c r="M191" s="4">
        <v>8174</v>
      </c>
      <c r="N191" s="4" t="s">
        <v>287</v>
      </c>
      <c r="O191" s="5" t="s">
        <v>112</v>
      </c>
    </row>
    <row r="192" spans="13:15" x14ac:dyDescent="0.25">
      <c r="M192" s="4">
        <v>8648</v>
      </c>
      <c r="N192" s="4" t="s">
        <v>288</v>
      </c>
      <c r="O192" s="5" t="s">
        <v>122</v>
      </c>
    </row>
    <row r="193" spans="13:15" x14ac:dyDescent="0.25">
      <c r="M193" s="4">
        <v>8638</v>
      </c>
      <c r="N193" s="4" t="s">
        <v>289</v>
      </c>
      <c r="O193" s="5" t="s">
        <v>122</v>
      </c>
    </row>
    <row r="194" spans="13:15" x14ac:dyDescent="0.25">
      <c r="M194" s="4">
        <v>8753</v>
      </c>
      <c r="N194" s="4" t="s">
        <v>290</v>
      </c>
      <c r="O194" s="5" t="s">
        <v>147</v>
      </c>
    </row>
    <row r="195" spans="13:15" x14ac:dyDescent="0.25">
      <c r="M195" s="4">
        <v>8647</v>
      </c>
      <c r="N195" s="4" t="s">
        <v>291</v>
      </c>
      <c r="O195" s="5" t="s">
        <v>122</v>
      </c>
    </row>
    <row r="196" spans="13:15" x14ac:dyDescent="0.25">
      <c r="M196" s="4">
        <v>8637</v>
      </c>
      <c r="N196" s="4" t="s">
        <v>292</v>
      </c>
      <c r="O196" s="5" t="s">
        <v>122</v>
      </c>
    </row>
    <row r="197" spans="13:15" x14ac:dyDescent="0.25">
      <c r="M197" s="4">
        <v>8255</v>
      </c>
      <c r="N197" s="4" t="s">
        <v>293</v>
      </c>
      <c r="O197" s="5" t="s">
        <v>112</v>
      </c>
    </row>
    <row r="198" spans="13:15" x14ac:dyDescent="0.25">
      <c r="M198" s="4">
        <v>8651</v>
      </c>
      <c r="N198" s="4" t="s">
        <v>294</v>
      </c>
      <c r="O198" s="5" t="s">
        <v>122</v>
      </c>
    </row>
    <row r="199" spans="13:15" x14ac:dyDescent="0.25">
      <c r="M199" s="4">
        <v>8624</v>
      </c>
      <c r="N199" s="4" t="s">
        <v>295</v>
      </c>
      <c r="O199" s="5" t="s">
        <v>122</v>
      </c>
    </row>
    <row r="200" spans="13:15" x14ac:dyDescent="0.25">
      <c r="M200" s="4">
        <v>8636</v>
      </c>
      <c r="N200" s="4" t="s">
        <v>296</v>
      </c>
      <c r="O200" s="5" t="s">
        <v>122</v>
      </c>
    </row>
    <row r="201" spans="13:15" x14ac:dyDescent="0.25">
      <c r="M201" s="4">
        <v>8710</v>
      </c>
      <c r="N201" s="4" t="s">
        <v>297</v>
      </c>
      <c r="O201" s="5" t="s">
        <v>122</v>
      </c>
    </row>
    <row r="202" spans="13:15" x14ac:dyDescent="0.25">
      <c r="M202" s="4">
        <v>8252</v>
      </c>
      <c r="N202" s="4" t="s">
        <v>298</v>
      </c>
      <c r="O202" s="5" t="s">
        <v>112</v>
      </c>
    </row>
    <row r="203" spans="13:15" x14ac:dyDescent="0.25">
      <c r="M203" s="4">
        <v>8233</v>
      </c>
      <c r="N203" s="4" t="s">
        <v>299</v>
      </c>
      <c r="O203" s="5" t="s">
        <v>112</v>
      </c>
    </row>
    <row r="204" spans="13:15" x14ac:dyDescent="0.25">
      <c r="M204" s="4">
        <v>8242</v>
      </c>
      <c r="N204" s="4" t="s">
        <v>300</v>
      </c>
      <c r="O204" s="5" t="s">
        <v>112</v>
      </c>
    </row>
    <row r="205" spans="13:15" x14ac:dyDescent="0.25">
      <c r="M205" s="4">
        <v>8712</v>
      </c>
      <c r="N205" s="4" t="s">
        <v>301</v>
      </c>
      <c r="O205" s="5" t="s">
        <v>122</v>
      </c>
    </row>
    <row r="206" spans="13:15" x14ac:dyDescent="0.25">
      <c r="M206" s="4">
        <v>8171</v>
      </c>
      <c r="N206" s="4" t="s">
        <v>302</v>
      </c>
      <c r="O206" s="5" t="s">
        <v>112</v>
      </c>
    </row>
    <row r="207" spans="13:15" x14ac:dyDescent="0.25">
      <c r="M207" s="4">
        <v>8054</v>
      </c>
      <c r="N207" s="4" t="s">
        <v>303</v>
      </c>
      <c r="O207" s="5" t="s">
        <v>92</v>
      </c>
    </row>
    <row r="208" spans="13:15" x14ac:dyDescent="0.25">
      <c r="M208" s="4">
        <v>8055</v>
      </c>
      <c r="N208" s="4" t="s">
        <v>303</v>
      </c>
      <c r="O208" s="5" t="s">
        <v>92</v>
      </c>
    </row>
    <row r="209" spans="13:15" x14ac:dyDescent="0.25">
      <c r="M209" s="4">
        <v>4233</v>
      </c>
      <c r="N209" s="4" t="s">
        <v>304</v>
      </c>
      <c r="O209" s="5" t="s">
        <v>134</v>
      </c>
    </row>
    <row r="210" spans="13:15" x14ac:dyDescent="0.25">
      <c r="M210" s="4">
        <v>6035</v>
      </c>
      <c r="N210" s="4" t="s">
        <v>305</v>
      </c>
      <c r="O210" s="5" t="s">
        <v>129</v>
      </c>
    </row>
    <row r="211" spans="13:15" x14ac:dyDescent="0.25">
      <c r="M211" s="4">
        <v>4060</v>
      </c>
      <c r="N211" s="4" t="s">
        <v>306</v>
      </c>
      <c r="O211" s="5" t="s">
        <v>155</v>
      </c>
    </row>
    <row r="212" spans="13:15" x14ac:dyDescent="0.25">
      <c r="M212" s="4">
        <v>9771</v>
      </c>
      <c r="N212" s="4" t="s">
        <v>307</v>
      </c>
      <c r="O212" s="5" t="s">
        <v>117</v>
      </c>
    </row>
    <row r="213" spans="13:15" x14ac:dyDescent="0.25">
      <c r="M213" s="4">
        <v>6412</v>
      </c>
      <c r="N213" s="4" t="s">
        <v>308</v>
      </c>
      <c r="O213" s="5" t="s">
        <v>129</v>
      </c>
    </row>
    <row r="214" spans="13:15" x14ac:dyDescent="0.25">
      <c r="M214" s="4">
        <v>4468</v>
      </c>
      <c r="N214" s="4" t="s">
        <v>309</v>
      </c>
      <c r="O214" s="5" t="s">
        <v>134</v>
      </c>
    </row>
    <row r="215" spans="13:15" x14ac:dyDescent="0.25">
      <c r="M215" s="4">
        <v>8614</v>
      </c>
      <c r="N215" s="4" t="s">
        <v>310</v>
      </c>
      <c r="O215" s="5" t="s">
        <v>122</v>
      </c>
    </row>
    <row r="216" spans="13:15" x14ac:dyDescent="0.25">
      <c r="M216" s="4">
        <v>2944</v>
      </c>
      <c r="N216" s="4" t="s">
        <v>311</v>
      </c>
      <c r="O216" s="5" t="s">
        <v>114</v>
      </c>
    </row>
    <row r="217" spans="13:15" x14ac:dyDescent="0.25">
      <c r="M217" s="4">
        <v>8443</v>
      </c>
      <c r="N217" s="4" t="s">
        <v>312</v>
      </c>
      <c r="O217" s="5" t="s">
        <v>112</v>
      </c>
    </row>
    <row r="218" spans="13:15" x14ac:dyDescent="0.25">
      <c r="M218" s="4">
        <v>7914</v>
      </c>
      <c r="N218" s="4" t="s">
        <v>313</v>
      </c>
      <c r="O218" s="5" t="s">
        <v>96</v>
      </c>
    </row>
    <row r="219" spans="13:15" x14ac:dyDescent="0.25">
      <c r="M219" s="4">
        <v>3642</v>
      </c>
      <c r="N219" s="4" t="s">
        <v>314</v>
      </c>
      <c r="O219" s="5" t="s">
        <v>100</v>
      </c>
    </row>
    <row r="220" spans="13:15" x14ac:dyDescent="0.25">
      <c r="M220" s="4">
        <v>2653</v>
      </c>
      <c r="N220" s="4" t="s">
        <v>315</v>
      </c>
      <c r="O220" s="5" t="s">
        <v>169</v>
      </c>
    </row>
    <row r="221" spans="13:15" x14ac:dyDescent="0.25">
      <c r="M221" s="4">
        <v>8891</v>
      </c>
      <c r="N221" s="4" t="s">
        <v>316</v>
      </c>
      <c r="O221" s="5" t="s">
        <v>147</v>
      </c>
    </row>
    <row r="222" spans="13:15" x14ac:dyDescent="0.25">
      <c r="M222" s="4">
        <v>3654</v>
      </c>
      <c r="N222" s="4" t="s">
        <v>317</v>
      </c>
      <c r="O222" s="5" t="s">
        <v>100</v>
      </c>
    </row>
    <row r="223" spans="13:15" x14ac:dyDescent="0.25">
      <c r="M223" s="4">
        <v>7711</v>
      </c>
      <c r="N223" s="4" t="s">
        <v>318</v>
      </c>
      <c r="O223" s="5" t="s">
        <v>96</v>
      </c>
    </row>
    <row r="224" spans="13:15" x14ac:dyDescent="0.25">
      <c r="M224" s="4">
        <v>4937</v>
      </c>
      <c r="N224" s="4" t="s">
        <v>319</v>
      </c>
      <c r="O224" s="5" t="s">
        <v>134</v>
      </c>
    </row>
    <row r="225" spans="13:15" x14ac:dyDescent="0.25">
      <c r="M225" s="4">
        <v>2427</v>
      </c>
      <c r="N225" s="4" t="s">
        <v>320</v>
      </c>
      <c r="O225" s="5" t="s">
        <v>92</v>
      </c>
    </row>
    <row r="226" spans="13:15" x14ac:dyDescent="0.25">
      <c r="M226" s="4">
        <v>2426</v>
      </c>
      <c r="N226" s="4" t="s">
        <v>320</v>
      </c>
      <c r="O226" s="5" t="s">
        <v>92</v>
      </c>
    </row>
    <row r="227" spans="13:15" x14ac:dyDescent="0.25">
      <c r="M227" s="4">
        <v>2471</v>
      </c>
      <c r="N227" s="4" t="s">
        <v>321</v>
      </c>
      <c r="O227" s="5" t="s">
        <v>92</v>
      </c>
    </row>
    <row r="228" spans="13:15" x14ac:dyDescent="0.25">
      <c r="M228" s="4">
        <v>4161</v>
      </c>
      <c r="N228" s="4" t="s">
        <v>322</v>
      </c>
      <c r="O228" s="5" t="s">
        <v>155</v>
      </c>
    </row>
    <row r="229" spans="13:15" x14ac:dyDescent="0.25">
      <c r="M229" s="4">
        <v>7841</v>
      </c>
      <c r="N229" s="4" t="s">
        <v>323</v>
      </c>
      <c r="O229" s="5" t="s">
        <v>96</v>
      </c>
    </row>
    <row r="230" spans="13:15" x14ac:dyDescent="0.25">
      <c r="M230" s="4">
        <v>7384</v>
      </c>
      <c r="N230" s="4" t="s">
        <v>324</v>
      </c>
      <c r="O230" s="5" t="s">
        <v>96</v>
      </c>
    </row>
    <row r="231" spans="13:15" x14ac:dyDescent="0.25">
      <c r="M231" s="4">
        <v>7383</v>
      </c>
      <c r="N231" s="4" t="s">
        <v>325</v>
      </c>
      <c r="O231" s="5" t="s">
        <v>96</v>
      </c>
    </row>
    <row r="232" spans="13:15" x14ac:dyDescent="0.25">
      <c r="M232" s="4">
        <v>9169</v>
      </c>
      <c r="N232" s="4" t="s">
        <v>326</v>
      </c>
      <c r="O232" s="5" t="s">
        <v>107</v>
      </c>
    </row>
    <row r="233" spans="13:15" x14ac:dyDescent="0.25">
      <c r="M233" s="4">
        <v>7557</v>
      </c>
      <c r="N233" s="4" t="s">
        <v>327</v>
      </c>
      <c r="O233" s="5" t="s">
        <v>122</v>
      </c>
    </row>
    <row r="234" spans="13:15" x14ac:dyDescent="0.25">
      <c r="M234" s="4">
        <v>7570</v>
      </c>
      <c r="N234" s="4" t="s">
        <v>327</v>
      </c>
      <c r="O234" s="5" t="s">
        <v>122</v>
      </c>
    </row>
    <row r="235" spans="13:15" x14ac:dyDescent="0.25">
      <c r="M235" s="4">
        <v>7478</v>
      </c>
      <c r="N235" s="4" t="s">
        <v>328</v>
      </c>
      <c r="O235" s="5" t="s">
        <v>122</v>
      </c>
    </row>
    <row r="236" spans="13:15" x14ac:dyDescent="0.25">
      <c r="M236" s="4">
        <v>8948</v>
      </c>
      <c r="N236" s="4" t="s">
        <v>329</v>
      </c>
      <c r="O236" s="5" t="s">
        <v>147</v>
      </c>
    </row>
    <row r="237" spans="13:15" x14ac:dyDescent="0.25">
      <c r="M237" s="4">
        <v>3126</v>
      </c>
      <c r="N237" s="4" t="s">
        <v>330</v>
      </c>
      <c r="O237" s="5" t="s">
        <v>169</v>
      </c>
    </row>
    <row r="238" spans="13:15" x14ac:dyDescent="0.25">
      <c r="M238" s="4">
        <v>8291</v>
      </c>
      <c r="N238" s="4" t="s">
        <v>331</v>
      </c>
      <c r="O238" s="5" t="s">
        <v>112</v>
      </c>
    </row>
    <row r="239" spans="13:15" x14ac:dyDescent="0.25">
      <c r="M239" s="4">
        <v>2883</v>
      </c>
      <c r="N239" s="4" t="s">
        <v>332</v>
      </c>
      <c r="O239" s="5" t="s">
        <v>114</v>
      </c>
    </row>
    <row r="240" spans="13:15" x14ac:dyDescent="0.25">
      <c r="M240" s="4">
        <v>7923</v>
      </c>
      <c r="N240" s="4" t="s">
        <v>333</v>
      </c>
      <c r="O240" s="5" t="s">
        <v>96</v>
      </c>
    </row>
    <row r="241" spans="13:15" x14ac:dyDescent="0.25">
      <c r="M241" s="4">
        <v>3881</v>
      </c>
      <c r="N241" s="4" t="s">
        <v>334</v>
      </c>
      <c r="O241" s="5" t="s">
        <v>100</v>
      </c>
    </row>
    <row r="242" spans="13:15" x14ac:dyDescent="0.25">
      <c r="M242" s="4">
        <v>7149</v>
      </c>
      <c r="N242" s="4" t="s">
        <v>335</v>
      </c>
      <c r="O242" s="5" t="s">
        <v>162</v>
      </c>
    </row>
    <row r="243" spans="13:15" x14ac:dyDescent="0.25">
      <c r="M243" s="4">
        <v>7164</v>
      </c>
      <c r="N243" s="4" t="s">
        <v>336</v>
      </c>
      <c r="O243" s="5" t="s">
        <v>162</v>
      </c>
    </row>
    <row r="244" spans="13:15" x14ac:dyDescent="0.25">
      <c r="M244" s="4">
        <v>7140</v>
      </c>
      <c r="N244" s="4" t="s">
        <v>337</v>
      </c>
      <c r="O244" s="5" t="s">
        <v>162</v>
      </c>
    </row>
    <row r="245" spans="13:15" x14ac:dyDescent="0.25">
      <c r="M245" s="4">
        <v>7258</v>
      </c>
      <c r="N245" s="4" t="s">
        <v>338</v>
      </c>
      <c r="O245" s="5" t="s">
        <v>122</v>
      </c>
    </row>
    <row r="246" spans="13:15" x14ac:dyDescent="0.25">
      <c r="M246" s="4">
        <v>6528</v>
      </c>
      <c r="N246" s="4" t="s">
        <v>339</v>
      </c>
      <c r="O246" s="5" t="s">
        <v>129</v>
      </c>
    </row>
    <row r="247" spans="13:15" x14ac:dyDescent="0.25">
      <c r="M247" s="4">
        <v>3078</v>
      </c>
      <c r="N247" s="4" t="s">
        <v>340</v>
      </c>
      <c r="O247" s="5" t="s">
        <v>169</v>
      </c>
    </row>
    <row r="248" spans="13:15" x14ac:dyDescent="0.25">
      <c r="M248" s="4">
        <v>3070</v>
      </c>
      <c r="N248" s="4" t="s">
        <v>340</v>
      </c>
      <c r="O248" s="5" t="s">
        <v>169</v>
      </c>
    </row>
    <row r="249" spans="13:15" x14ac:dyDescent="0.25">
      <c r="M249" s="4">
        <v>3151</v>
      </c>
      <c r="N249" s="4" t="s">
        <v>340</v>
      </c>
      <c r="O249" s="5" t="s">
        <v>169</v>
      </c>
    </row>
    <row r="250" spans="13:15" x14ac:dyDescent="0.25">
      <c r="M250" s="4">
        <v>3336</v>
      </c>
      <c r="N250" s="4" t="s">
        <v>341</v>
      </c>
      <c r="O250" s="5" t="s">
        <v>98</v>
      </c>
    </row>
    <row r="251" spans="13:15" x14ac:dyDescent="0.25">
      <c r="M251" s="4">
        <v>4343</v>
      </c>
      <c r="N251" s="4" t="s">
        <v>342</v>
      </c>
      <c r="O251" s="5" t="s">
        <v>134</v>
      </c>
    </row>
    <row r="252" spans="13:15" x14ac:dyDescent="0.25">
      <c r="M252" s="4">
        <v>5830</v>
      </c>
      <c r="N252" s="4" t="s">
        <v>343</v>
      </c>
      <c r="O252" s="5" t="s">
        <v>152</v>
      </c>
    </row>
    <row r="253" spans="13:15" x14ac:dyDescent="0.25">
      <c r="M253" s="4">
        <v>6351</v>
      </c>
      <c r="N253" s="4" t="s">
        <v>344</v>
      </c>
      <c r="O253" s="5" t="s">
        <v>129</v>
      </c>
    </row>
    <row r="254" spans="13:15" x14ac:dyDescent="0.25">
      <c r="M254" s="4">
        <v>8797</v>
      </c>
      <c r="N254" s="4" t="s">
        <v>345</v>
      </c>
      <c r="O254" s="5" t="s">
        <v>147</v>
      </c>
    </row>
    <row r="255" spans="13:15" x14ac:dyDescent="0.25">
      <c r="M255" s="4">
        <v>8887</v>
      </c>
      <c r="N255" s="4" t="s">
        <v>346</v>
      </c>
      <c r="O255" s="5" t="s">
        <v>147</v>
      </c>
    </row>
    <row r="256" spans="13:15" x14ac:dyDescent="0.25">
      <c r="M256" s="4">
        <v>8352</v>
      </c>
      <c r="N256" s="4" t="s">
        <v>347</v>
      </c>
      <c r="O256" s="5" t="s">
        <v>112</v>
      </c>
    </row>
    <row r="257" spans="13:15" x14ac:dyDescent="0.25">
      <c r="M257" s="4">
        <v>8565</v>
      </c>
      <c r="N257" s="4" t="s">
        <v>348</v>
      </c>
      <c r="O257" s="5" t="s">
        <v>112</v>
      </c>
    </row>
    <row r="258" spans="13:15" x14ac:dyDescent="0.25">
      <c r="M258" s="4">
        <v>8866</v>
      </c>
      <c r="N258" s="4" t="s">
        <v>349</v>
      </c>
      <c r="O258" s="5" t="s">
        <v>147</v>
      </c>
    </row>
    <row r="259" spans="13:15" x14ac:dyDescent="0.25">
      <c r="M259" s="4">
        <v>2693</v>
      </c>
      <c r="N259" s="4" t="s">
        <v>350</v>
      </c>
      <c r="O259" s="5" t="s">
        <v>169</v>
      </c>
    </row>
    <row r="260" spans="13:15" x14ac:dyDescent="0.25">
      <c r="M260" s="4">
        <v>3768</v>
      </c>
      <c r="N260" s="4" t="s">
        <v>351</v>
      </c>
      <c r="O260" s="5" t="s">
        <v>100</v>
      </c>
    </row>
    <row r="261" spans="13:15" x14ac:dyDescent="0.25">
      <c r="M261" s="4">
        <v>8985</v>
      </c>
      <c r="N261" s="4" t="s">
        <v>352</v>
      </c>
      <c r="O261" s="5" t="s">
        <v>147</v>
      </c>
    </row>
    <row r="262" spans="13:15" x14ac:dyDescent="0.25">
      <c r="M262" s="4">
        <v>8666</v>
      </c>
      <c r="N262" s="4" t="s">
        <v>353</v>
      </c>
      <c r="O262" s="5" t="s">
        <v>122</v>
      </c>
    </row>
    <row r="263" spans="13:15" x14ac:dyDescent="0.25">
      <c r="M263" s="4">
        <v>4128</v>
      </c>
      <c r="N263" s="4" t="s">
        <v>354</v>
      </c>
      <c r="O263" s="5" t="s">
        <v>155</v>
      </c>
    </row>
    <row r="264" spans="13:15" x14ac:dyDescent="0.25">
      <c r="M264" s="4">
        <v>9683</v>
      </c>
      <c r="N264" s="4" t="s">
        <v>355</v>
      </c>
      <c r="O264" s="5" t="s">
        <v>117</v>
      </c>
    </row>
    <row r="265" spans="13:15" x14ac:dyDescent="0.25">
      <c r="M265" s="4">
        <v>8515</v>
      </c>
      <c r="N265" s="4" t="s">
        <v>356</v>
      </c>
      <c r="O265" s="5" t="s">
        <v>112</v>
      </c>
    </row>
    <row r="266" spans="13:15" x14ac:dyDescent="0.25">
      <c r="M266" s="4">
        <v>3903</v>
      </c>
      <c r="N266" s="4" t="s">
        <v>357</v>
      </c>
      <c r="O266" s="5" t="s">
        <v>100</v>
      </c>
    </row>
    <row r="267" spans="13:15" x14ac:dyDescent="0.25">
      <c r="M267" s="4">
        <v>5630</v>
      </c>
      <c r="N267" s="4" t="s">
        <v>152</v>
      </c>
      <c r="O267" s="5" t="s">
        <v>152</v>
      </c>
    </row>
    <row r="268" spans="13:15" x14ac:dyDescent="0.25">
      <c r="M268" s="4">
        <v>5623</v>
      </c>
      <c r="N268" s="4" t="s">
        <v>358</v>
      </c>
      <c r="O268" s="5" t="s">
        <v>152</v>
      </c>
    </row>
    <row r="269" spans="13:15" x14ac:dyDescent="0.25">
      <c r="M269" s="4">
        <v>5671</v>
      </c>
      <c r="N269" s="4" t="s">
        <v>358</v>
      </c>
      <c r="O269" s="5" t="s">
        <v>152</v>
      </c>
    </row>
    <row r="270" spans="13:15" x14ac:dyDescent="0.25">
      <c r="M270" s="4">
        <v>5600</v>
      </c>
      <c r="N270" s="4" t="s">
        <v>358</v>
      </c>
      <c r="O270" s="5" t="s">
        <v>152</v>
      </c>
    </row>
    <row r="271" spans="13:15" x14ac:dyDescent="0.25">
      <c r="M271" s="4">
        <v>5946</v>
      </c>
      <c r="N271" s="4" t="s">
        <v>359</v>
      </c>
      <c r="O271" s="5" t="s">
        <v>152</v>
      </c>
    </row>
    <row r="272" spans="13:15" x14ac:dyDescent="0.25">
      <c r="M272" s="4">
        <v>5561</v>
      </c>
      <c r="N272" s="4" t="s">
        <v>360</v>
      </c>
      <c r="O272" s="5" t="s">
        <v>152</v>
      </c>
    </row>
    <row r="273" spans="13:15" x14ac:dyDescent="0.25">
      <c r="M273" s="4">
        <v>3343</v>
      </c>
      <c r="N273" s="4" t="s">
        <v>361</v>
      </c>
      <c r="O273" s="5" t="s">
        <v>98</v>
      </c>
    </row>
    <row r="274" spans="13:15" x14ac:dyDescent="0.25">
      <c r="M274" s="4">
        <v>3346</v>
      </c>
      <c r="N274" s="4" t="s">
        <v>362</v>
      </c>
      <c r="O274" s="5" t="s">
        <v>98</v>
      </c>
    </row>
    <row r="275" spans="13:15" x14ac:dyDescent="0.25">
      <c r="M275" s="4">
        <v>7589</v>
      </c>
      <c r="N275" s="4" t="s">
        <v>363</v>
      </c>
      <c r="O275" s="5" t="s">
        <v>122</v>
      </c>
    </row>
    <row r="276" spans="13:15" x14ac:dyDescent="0.25">
      <c r="M276" s="4">
        <v>7061</v>
      </c>
      <c r="N276" s="4" t="s">
        <v>364</v>
      </c>
      <c r="O276" s="5" t="s">
        <v>162</v>
      </c>
    </row>
    <row r="277" spans="13:15" x14ac:dyDescent="0.25">
      <c r="M277" s="4">
        <v>9343</v>
      </c>
      <c r="N277" s="4" t="s">
        <v>365</v>
      </c>
      <c r="O277" s="5" t="s">
        <v>107</v>
      </c>
    </row>
    <row r="278" spans="13:15" x14ac:dyDescent="0.25">
      <c r="M278" s="4">
        <v>7543</v>
      </c>
      <c r="N278" s="4" t="s">
        <v>366</v>
      </c>
      <c r="O278" s="5" t="s">
        <v>122</v>
      </c>
    </row>
    <row r="279" spans="13:15" x14ac:dyDescent="0.25">
      <c r="M279" s="4">
        <v>8855</v>
      </c>
      <c r="N279" s="4" t="s">
        <v>367</v>
      </c>
      <c r="O279" s="5" t="s">
        <v>147</v>
      </c>
    </row>
    <row r="280" spans="13:15" x14ac:dyDescent="0.25">
      <c r="M280" s="4">
        <v>5643</v>
      </c>
      <c r="N280" s="4" t="s">
        <v>368</v>
      </c>
      <c r="O280" s="5" t="s">
        <v>152</v>
      </c>
    </row>
    <row r="281" spans="13:15" x14ac:dyDescent="0.25">
      <c r="M281" s="4">
        <v>2455</v>
      </c>
      <c r="N281" s="4" t="s">
        <v>369</v>
      </c>
      <c r="O281" s="5" t="s">
        <v>92</v>
      </c>
    </row>
    <row r="282" spans="13:15" x14ac:dyDescent="0.25">
      <c r="M282" s="4">
        <v>8978</v>
      </c>
      <c r="N282" s="4" t="s">
        <v>370</v>
      </c>
      <c r="O282" s="5" t="s">
        <v>147</v>
      </c>
    </row>
    <row r="283" spans="13:15" x14ac:dyDescent="0.25">
      <c r="M283" s="4">
        <v>7747</v>
      </c>
      <c r="N283" s="4" t="s">
        <v>371</v>
      </c>
      <c r="O283" s="5" t="s">
        <v>96</v>
      </c>
    </row>
    <row r="284" spans="13:15" x14ac:dyDescent="0.25">
      <c r="M284" s="4">
        <v>4643</v>
      </c>
      <c r="N284" s="4" t="s">
        <v>372</v>
      </c>
      <c r="O284" s="5" t="s">
        <v>134</v>
      </c>
    </row>
    <row r="285" spans="13:15" x14ac:dyDescent="0.25">
      <c r="M285" s="4">
        <v>2216</v>
      </c>
      <c r="N285" s="4" t="s">
        <v>373</v>
      </c>
      <c r="O285" s="5" t="s">
        <v>110</v>
      </c>
    </row>
    <row r="286" spans="13:15" x14ac:dyDescent="0.25">
      <c r="M286" s="4">
        <v>3045</v>
      </c>
      <c r="N286" s="4" t="s">
        <v>374</v>
      </c>
      <c r="O286" s="5" t="s">
        <v>169</v>
      </c>
    </row>
    <row r="287" spans="13:15" x14ac:dyDescent="0.25">
      <c r="M287" s="4">
        <v>9831</v>
      </c>
      <c r="N287" s="4" t="s">
        <v>375</v>
      </c>
      <c r="O287" s="5" t="s">
        <v>117</v>
      </c>
    </row>
    <row r="288" spans="13:15" x14ac:dyDescent="0.25">
      <c r="M288" s="4">
        <v>2687</v>
      </c>
      <c r="N288" s="4" t="s">
        <v>376</v>
      </c>
      <c r="O288" s="5" t="s">
        <v>169</v>
      </c>
    </row>
    <row r="289" spans="13:15" x14ac:dyDescent="0.25">
      <c r="M289" s="4">
        <v>4934</v>
      </c>
      <c r="N289" s="4" t="s">
        <v>377</v>
      </c>
      <c r="O289" s="5" t="s">
        <v>134</v>
      </c>
    </row>
    <row r="290" spans="13:15" x14ac:dyDescent="0.25">
      <c r="M290" s="4">
        <v>4933</v>
      </c>
      <c r="N290" s="4" t="s">
        <v>378</v>
      </c>
      <c r="O290" s="5" t="s">
        <v>134</v>
      </c>
    </row>
    <row r="291" spans="13:15" x14ac:dyDescent="0.25">
      <c r="M291" s="4">
        <v>4116</v>
      </c>
      <c r="N291" s="4" t="s">
        <v>379</v>
      </c>
      <c r="O291" s="5" t="s">
        <v>155</v>
      </c>
    </row>
    <row r="292" spans="13:15" x14ac:dyDescent="0.25">
      <c r="M292" s="4">
        <v>5309</v>
      </c>
      <c r="N292" s="4" t="s">
        <v>380</v>
      </c>
      <c r="O292" s="5" t="s">
        <v>94</v>
      </c>
    </row>
    <row r="293" spans="13:15" x14ac:dyDescent="0.25">
      <c r="M293" s="4">
        <v>7827</v>
      </c>
      <c r="N293" s="4" t="s">
        <v>381</v>
      </c>
      <c r="O293" s="5" t="s">
        <v>96</v>
      </c>
    </row>
    <row r="294" spans="13:15" x14ac:dyDescent="0.25">
      <c r="M294" s="4">
        <v>3704</v>
      </c>
      <c r="N294" s="4" t="s">
        <v>382</v>
      </c>
      <c r="O294" s="5" t="s">
        <v>100</v>
      </c>
    </row>
    <row r="295" spans="13:15" x14ac:dyDescent="0.25">
      <c r="M295" s="4">
        <v>3834</v>
      </c>
      <c r="N295" s="4" t="s">
        <v>383</v>
      </c>
      <c r="O295" s="5" t="s">
        <v>100</v>
      </c>
    </row>
    <row r="296" spans="13:15" x14ac:dyDescent="0.25">
      <c r="M296" s="4">
        <v>4103</v>
      </c>
      <c r="N296" s="4" t="s">
        <v>384</v>
      </c>
      <c r="O296" s="5" t="s">
        <v>155</v>
      </c>
    </row>
    <row r="297" spans="13:15" x14ac:dyDescent="0.25">
      <c r="M297" s="4">
        <v>4100</v>
      </c>
      <c r="N297" s="4" t="s">
        <v>384</v>
      </c>
      <c r="O297" s="5" t="s">
        <v>155</v>
      </c>
    </row>
    <row r="298" spans="13:15" x14ac:dyDescent="0.25">
      <c r="M298" s="4">
        <v>8182</v>
      </c>
      <c r="N298" s="4" t="s">
        <v>385</v>
      </c>
      <c r="O298" s="5" t="s">
        <v>112</v>
      </c>
    </row>
    <row r="299" spans="13:15" x14ac:dyDescent="0.25">
      <c r="M299" s="4">
        <v>8181</v>
      </c>
      <c r="N299" s="4" t="s">
        <v>385</v>
      </c>
      <c r="O299" s="5" t="s">
        <v>112</v>
      </c>
    </row>
    <row r="300" spans="13:15" x14ac:dyDescent="0.25">
      <c r="M300" s="4">
        <v>2641</v>
      </c>
      <c r="N300" s="4" t="s">
        <v>386</v>
      </c>
      <c r="O300" s="5" t="s">
        <v>169</v>
      </c>
    </row>
    <row r="301" spans="13:15" x14ac:dyDescent="0.25">
      <c r="M301" s="4">
        <v>7664</v>
      </c>
      <c r="N301" s="4" t="s">
        <v>387</v>
      </c>
      <c r="O301" s="5" t="s">
        <v>96</v>
      </c>
    </row>
    <row r="302" spans="13:15" x14ac:dyDescent="0.25">
      <c r="M302" s="4">
        <v>4521</v>
      </c>
      <c r="N302" s="4" t="s">
        <v>388</v>
      </c>
      <c r="O302" s="5" t="s">
        <v>134</v>
      </c>
    </row>
    <row r="303" spans="13:15" x14ac:dyDescent="0.25">
      <c r="M303" s="4">
        <v>2639</v>
      </c>
      <c r="N303" s="4" t="s">
        <v>389</v>
      </c>
      <c r="O303" s="5" t="s">
        <v>110</v>
      </c>
    </row>
    <row r="304" spans="13:15" x14ac:dyDescent="0.25">
      <c r="M304" s="4">
        <v>3575</v>
      </c>
      <c r="N304" s="4" t="s">
        <v>390</v>
      </c>
      <c r="O304" s="5" t="s">
        <v>100</v>
      </c>
    </row>
    <row r="305" spans="13:15" x14ac:dyDescent="0.25">
      <c r="M305" s="4">
        <v>7516</v>
      </c>
      <c r="N305" s="4" t="s">
        <v>391</v>
      </c>
      <c r="O305" s="5" t="s">
        <v>122</v>
      </c>
    </row>
    <row r="306" spans="13:15" x14ac:dyDescent="0.25">
      <c r="M306" s="4">
        <v>7838</v>
      </c>
      <c r="N306" s="4" t="s">
        <v>392</v>
      </c>
      <c r="O306" s="5" t="s">
        <v>96</v>
      </c>
    </row>
    <row r="307" spans="13:15" x14ac:dyDescent="0.25">
      <c r="M307" s="4">
        <v>4557</v>
      </c>
      <c r="N307" s="4" t="s">
        <v>393</v>
      </c>
      <c r="O307" s="5" t="s">
        <v>134</v>
      </c>
    </row>
    <row r="308" spans="13:15" x14ac:dyDescent="0.25">
      <c r="M308" s="4">
        <v>3373</v>
      </c>
      <c r="N308" s="4" t="s">
        <v>394</v>
      </c>
      <c r="O308" s="5" t="s">
        <v>98</v>
      </c>
    </row>
    <row r="309" spans="13:15" x14ac:dyDescent="0.25">
      <c r="M309" s="4">
        <v>5071</v>
      </c>
      <c r="N309" s="4" t="s">
        <v>395</v>
      </c>
      <c r="O309" s="5" t="s">
        <v>94</v>
      </c>
    </row>
    <row r="310" spans="13:15" x14ac:dyDescent="0.25">
      <c r="M310" s="4">
        <v>2456</v>
      </c>
      <c r="N310" s="4" t="s">
        <v>396</v>
      </c>
      <c r="O310" s="5" t="s">
        <v>92</v>
      </c>
    </row>
    <row r="311" spans="13:15" x14ac:dyDescent="0.25">
      <c r="M311" s="4">
        <v>4488</v>
      </c>
      <c r="N311" s="4" t="s">
        <v>397</v>
      </c>
      <c r="O311" s="5" t="s">
        <v>134</v>
      </c>
    </row>
    <row r="312" spans="13:15" x14ac:dyDescent="0.25">
      <c r="M312" s="4">
        <v>7782</v>
      </c>
      <c r="N312" s="4" t="s">
        <v>398</v>
      </c>
      <c r="O312" s="5" t="s">
        <v>96</v>
      </c>
    </row>
    <row r="313" spans="13:15" x14ac:dyDescent="0.25">
      <c r="M313" s="4">
        <v>9223</v>
      </c>
      <c r="N313" s="4" t="s">
        <v>399</v>
      </c>
      <c r="O313" s="5" t="s">
        <v>107</v>
      </c>
    </row>
    <row r="314" spans="13:15" x14ac:dyDescent="0.25">
      <c r="M314" s="4">
        <v>8934</v>
      </c>
      <c r="N314" s="4" t="s">
        <v>400</v>
      </c>
      <c r="O314" s="5" t="s">
        <v>147</v>
      </c>
    </row>
    <row r="315" spans="13:15" x14ac:dyDescent="0.25">
      <c r="M315" s="4">
        <v>9162</v>
      </c>
      <c r="N315" s="4" t="s">
        <v>401</v>
      </c>
      <c r="O315" s="5" t="s">
        <v>107</v>
      </c>
    </row>
    <row r="316" spans="13:15" x14ac:dyDescent="0.25">
      <c r="M316" s="4">
        <v>2051</v>
      </c>
      <c r="N316" s="4" t="s">
        <v>402</v>
      </c>
      <c r="O316" s="5" t="s">
        <v>110</v>
      </c>
    </row>
    <row r="317" spans="13:15" x14ac:dyDescent="0.25">
      <c r="M317" s="4">
        <v>7671</v>
      </c>
      <c r="N317" s="4" t="s">
        <v>403</v>
      </c>
      <c r="O317" s="5" t="s">
        <v>96</v>
      </c>
    </row>
    <row r="318" spans="13:15" x14ac:dyDescent="0.25">
      <c r="M318" s="4">
        <v>2060</v>
      </c>
      <c r="N318" s="4" t="s">
        <v>404</v>
      </c>
      <c r="O318" s="5" t="s">
        <v>92</v>
      </c>
    </row>
    <row r="319" spans="13:15" x14ac:dyDescent="0.25">
      <c r="M319" s="4">
        <v>4175</v>
      </c>
      <c r="N319" s="4" t="s">
        <v>405</v>
      </c>
      <c r="O319" s="5" t="s">
        <v>155</v>
      </c>
    </row>
    <row r="320" spans="13:15" x14ac:dyDescent="0.25">
      <c r="M320" s="4">
        <v>4110</v>
      </c>
      <c r="N320" s="4" t="s">
        <v>406</v>
      </c>
      <c r="O320" s="5" t="s">
        <v>155</v>
      </c>
    </row>
    <row r="321" spans="13:15" x14ac:dyDescent="0.25">
      <c r="M321" s="4">
        <v>4172</v>
      </c>
      <c r="N321" s="4" t="s">
        <v>407</v>
      </c>
      <c r="O321" s="5" t="s">
        <v>155</v>
      </c>
    </row>
    <row r="322" spans="13:15" x14ac:dyDescent="0.25">
      <c r="M322" s="4">
        <v>4174</v>
      </c>
      <c r="N322" s="4" t="s">
        <v>408</v>
      </c>
      <c r="O322" s="5" t="s">
        <v>155</v>
      </c>
    </row>
    <row r="323" spans="13:15" x14ac:dyDescent="0.25">
      <c r="M323" s="4">
        <v>5538</v>
      </c>
      <c r="N323" s="4" t="s">
        <v>409</v>
      </c>
      <c r="O323" s="5" t="s">
        <v>152</v>
      </c>
    </row>
    <row r="324" spans="13:15" x14ac:dyDescent="0.25">
      <c r="M324" s="4">
        <v>7043</v>
      </c>
      <c r="N324" s="4" t="s">
        <v>410</v>
      </c>
      <c r="O324" s="5" t="s">
        <v>162</v>
      </c>
    </row>
    <row r="325" spans="13:15" x14ac:dyDescent="0.25">
      <c r="M325" s="4">
        <v>7346</v>
      </c>
      <c r="N325" s="4" t="s">
        <v>411</v>
      </c>
      <c r="O325" s="5" t="s">
        <v>96</v>
      </c>
    </row>
    <row r="326" spans="13:15" x14ac:dyDescent="0.25">
      <c r="M326" s="4">
        <v>4235</v>
      </c>
      <c r="N326" s="4" t="s">
        <v>412</v>
      </c>
      <c r="O326" s="5" t="s">
        <v>134</v>
      </c>
    </row>
    <row r="327" spans="13:15" x14ac:dyDescent="0.25">
      <c r="M327" s="4">
        <v>7747</v>
      </c>
      <c r="N327" s="4" t="s">
        <v>413</v>
      </c>
      <c r="O327" s="5" t="s">
        <v>96</v>
      </c>
    </row>
    <row r="328" spans="13:15" x14ac:dyDescent="0.25">
      <c r="M328" s="4">
        <v>7811</v>
      </c>
      <c r="N328" s="4" t="s">
        <v>414</v>
      </c>
      <c r="O328" s="5" t="s">
        <v>96</v>
      </c>
    </row>
    <row r="329" spans="13:15" x14ac:dyDescent="0.25">
      <c r="M329" s="4">
        <v>9625</v>
      </c>
      <c r="N329" s="4" t="s">
        <v>415</v>
      </c>
      <c r="O329" s="5" t="s">
        <v>117</v>
      </c>
    </row>
    <row r="330" spans="13:15" x14ac:dyDescent="0.25">
      <c r="M330" s="4">
        <v>9542</v>
      </c>
      <c r="N330" s="4" t="s">
        <v>416</v>
      </c>
      <c r="O330" s="5" t="s">
        <v>147</v>
      </c>
    </row>
    <row r="331" spans="13:15" x14ac:dyDescent="0.25">
      <c r="M331" s="4">
        <v>8943</v>
      </c>
      <c r="N331" s="4" t="s">
        <v>417</v>
      </c>
      <c r="O331" s="5" t="s">
        <v>98</v>
      </c>
    </row>
    <row r="332" spans="13:15" x14ac:dyDescent="0.25">
      <c r="M332" s="4">
        <v>3368</v>
      </c>
      <c r="N332" s="4" t="s">
        <v>418</v>
      </c>
      <c r="O332" s="5" t="s">
        <v>129</v>
      </c>
    </row>
    <row r="333" spans="13:15" x14ac:dyDescent="0.25">
      <c r="M333" s="4">
        <v>3574</v>
      </c>
      <c r="N333" s="4" t="s">
        <v>419</v>
      </c>
      <c r="O333" s="5" t="s">
        <v>147</v>
      </c>
    </row>
    <row r="334" spans="13:15" x14ac:dyDescent="0.25">
      <c r="M334" s="4">
        <v>6235</v>
      </c>
      <c r="N334" s="4" t="s">
        <v>420</v>
      </c>
      <c r="O334" s="5" t="s">
        <v>155</v>
      </c>
    </row>
    <row r="335" spans="13:15" x14ac:dyDescent="0.25">
      <c r="M335" s="4">
        <v>8776</v>
      </c>
      <c r="N335" s="4" t="s">
        <v>421</v>
      </c>
      <c r="O335" s="5" t="s">
        <v>96</v>
      </c>
    </row>
    <row r="336" spans="13:15" x14ac:dyDescent="0.25">
      <c r="M336" s="4">
        <v>4241</v>
      </c>
      <c r="N336" s="4" t="s">
        <v>422</v>
      </c>
      <c r="O336" s="5" t="s">
        <v>92</v>
      </c>
    </row>
    <row r="337" spans="13:15" x14ac:dyDescent="0.25">
      <c r="M337" s="4">
        <v>7672</v>
      </c>
      <c r="N337" s="4" t="s">
        <v>423</v>
      </c>
      <c r="O337" s="5" t="s">
        <v>92</v>
      </c>
    </row>
    <row r="338" spans="13:15" x14ac:dyDescent="0.25">
      <c r="M338" s="4">
        <v>8053</v>
      </c>
      <c r="N338" s="4" t="s">
        <v>424</v>
      </c>
      <c r="O338" s="5" t="s">
        <v>96</v>
      </c>
    </row>
    <row r="339" spans="13:15" x14ac:dyDescent="0.25">
      <c r="M339" s="4">
        <v>8991</v>
      </c>
      <c r="N339" s="4" t="s">
        <v>425</v>
      </c>
      <c r="O339" s="5" t="s">
        <v>107</v>
      </c>
    </row>
    <row r="340" spans="13:15" x14ac:dyDescent="0.25">
      <c r="M340" s="4">
        <v>8969</v>
      </c>
      <c r="N340" s="4" t="s">
        <v>426</v>
      </c>
      <c r="O340" s="5" t="s">
        <v>98</v>
      </c>
    </row>
    <row r="341" spans="13:15" x14ac:dyDescent="0.25">
      <c r="M341" s="4">
        <v>8085</v>
      </c>
      <c r="N341" s="4" t="s">
        <v>427</v>
      </c>
      <c r="O341" s="5" t="s">
        <v>112</v>
      </c>
    </row>
    <row r="342" spans="13:15" x14ac:dyDescent="0.25">
      <c r="M342" s="4">
        <v>7394</v>
      </c>
      <c r="N342" s="4" t="s">
        <v>428</v>
      </c>
      <c r="O342" s="5" t="s">
        <v>122</v>
      </c>
    </row>
    <row r="343" spans="13:15" x14ac:dyDescent="0.25">
      <c r="M343" s="4">
        <v>9134</v>
      </c>
      <c r="N343" s="4" t="s">
        <v>429</v>
      </c>
      <c r="O343" s="5" t="s">
        <v>100</v>
      </c>
    </row>
    <row r="344" spans="13:15" x14ac:dyDescent="0.25">
      <c r="M344" s="4">
        <v>3243</v>
      </c>
      <c r="N344" s="4" t="s">
        <v>430</v>
      </c>
      <c r="O344" s="5" t="s">
        <v>100</v>
      </c>
    </row>
    <row r="345" spans="13:15" x14ac:dyDescent="0.25">
      <c r="M345" s="4">
        <v>8471</v>
      </c>
      <c r="N345" s="4" t="s">
        <v>431</v>
      </c>
      <c r="O345" s="5" t="s">
        <v>100</v>
      </c>
    </row>
    <row r="346" spans="13:15" x14ac:dyDescent="0.25">
      <c r="M346" s="4">
        <v>7439</v>
      </c>
      <c r="N346" s="4" t="s">
        <v>432</v>
      </c>
      <c r="O346" s="5" t="s">
        <v>100</v>
      </c>
    </row>
    <row r="347" spans="13:15" x14ac:dyDescent="0.25">
      <c r="M347" s="4">
        <v>3987</v>
      </c>
      <c r="N347" s="4" t="s">
        <v>433</v>
      </c>
      <c r="O347" s="5" t="s">
        <v>100</v>
      </c>
    </row>
    <row r="348" spans="13:15" x14ac:dyDescent="0.25">
      <c r="M348" s="4">
        <v>3916</v>
      </c>
      <c r="N348" s="4" t="s">
        <v>434</v>
      </c>
      <c r="O348" s="5" t="s">
        <v>100</v>
      </c>
    </row>
    <row r="349" spans="13:15" x14ac:dyDescent="0.25">
      <c r="M349" s="4">
        <v>3917</v>
      </c>
      <c r="N349" s="4" t="s">
        <v>435</v>
      </c>
      <c r="O349" s="5" t="s">
        <v>100</v>
      </c>
    </row>
    <row r="350" spans="13:15" x14ac:dyDescent="0.25">
      <c r="M350" s="4">
        <v>3943</v>
      </c>
      <c r="N350" s="4" t="s">
        <v>436</v>
      </c>
      <c r="O350" s="5" t="s">
        <v>100</v>
      </c>
    </row>
    <row r="351" spans="13:15" x14ac:dyDescent="0.25">
      <c r="M351" s="4">
        <v>3768</v>
      </c>
      <c r="N351" s="4" t="s">
        <v>437</v>
      </c>
      <c r="O351" s="5" t="s">
        <v>96</v>
      </c>
    </row>
    <row r="352" spans="13:15" x14ac:dyDescent="0.25">
      <c r="M352" s="4">
        <v>3764</v>
      </c>
      <c r="N352" s="4" t="s">
        <v>438</v>
      </c>
      <c r="O352" s="5" t="s">
        <v>96</v>
      </c>
    </row>
    <row r="353" spans="13:15" x14ac:dyDescent="0.25">
      <c r="M353" s="4">
        <v>3763</v>
      </c>
      <c r="N353" s="4" t="s">
        <v>439</v>
      </c>
      <c r="O353" s="5" t="s">
        <v>96</v>
      </c>
    </row>
    <row r="354" spans="13:15" x14ac:dyDescent="0.25">
      <c r="M354" s="4">
        <v>3412</v>
      </c>
      <c r="N354" s="4" t="s">
        <v>440</v>
      </c>
      <c r="O354" s="5" t="s">
        <v>162</v>
      </c>
    </row>
    <row r="355" spans="13:15" x14ac:dyDescent="0.25">
      <c r="M355" s="4">
        <v>7742</v>
      </c>
      <c r="N355" s="4" t="s">
        <v>441</v>
      </c>
      <c r="O355" s="5" t="s">
        <v>107</v>
      </c>
    </row>
    <row r="356" spans="13:15" x14ac:dyDescent="0.25">
      <c r="M356" s="4">
        <v>7836</v>
      </c>
      <c r="N356" s="4" t="s">
        <v>442</v>
      </c>
      <c r="O356" s="5" t="s">
        <v>155</v>
      </c>
    </row>
    <row r="357" spans="13:15" x14ac:dyDescent="0.25">
      <c r="M357" s="4">
        <v>7966</v>
      </c>
      <c r="N357" s="4" t="s">
        <v>443</v>
      </c>
      <c r="O357" s="5" t="s">
        <v>147</v>
      </c>
    </row>
    <row r="358" spans="13:15" x14ac:dyDescent="0.25">
      <c r="M358" s="4">
        <v>9612</v>
      </c>
      <c r="N358" s="4" t="s">
        <v>444</v>
      </c>
      <c r="O358" s="5" t="s">
        <v>114</v>
      </c>
    </row>
    <row r="359" spans="13:15" x14ac:dyDescent="0.25">
      <c r="M359" s="4">
        <v>9675</v>
      </c>
      <c r="N359" s="4" t="s">
        <v>445</v>
      </c>
      <c r="O359" s="5" t="s">
        <v>169</v>
      </c>
    </row>
    <row r="360" spans="13:15" x14ac:dyDescent="0.25">
      <c r="M360" s="4">
        <v>7132</v>
      </c>
      <c r="N360" s="4" t="s">
        <v>446</v>
      </c>
      <c r="O360" s="5" t="s">
        <v>98</v>
      </c>
    </row>
    <row r="361" spans="13:15" x14ac:dyDescent="0.25">
      <c r="M361" s="4">
        <v>9324</v>
      </c>
      <c r="N361" s="4" t="s">
        <v>447</v>
      </c>
      <c r="O361" s="5" t="s">
        <v>96</v>
      </c>
    </row>
    <row r="362" spans="13:15" x14ac:dyDescent="0.25">
      <c r="M362" s="4">
        <v>8719</v>
      </c>
      <c r="N362" s="4" t="s">
        <v>448</v>
      </c>
      <c r="O362" s="5" t="s">
        <v>100</v>
      </c>
    </row>
    <row r="363" spans="13:15" x14ac:dyDescent="0.25">
      <c r="M363" s="4">
        <v>4114</v>
      </c>
      <c r="N363" s="4" t="s">
        <v>449</v>
      </c>
      <c r="O363" s="5" t="s">
        <v>100</v>
      </c>
    </row>
    <row r="364" spans="13:15" x14ac:dyDescent="0.25">
      <c r="M364" s="4">
        <v>8741</v>
      </c>
      <c r="N364" s="4" t="s">
        <v>450</v>
      </c>
      <c r="O364" s="5" t="s">
        <v>100</v>
      </c>
    </row>
    <row r="365" spans="13:15" x14ac:dyDescent="0.25">
      <c r="M365" s="4">
        <v>2855</v>
      </c>
      <c r="N365" s="4" t="s">
        <v>451</v>
      </c>
      <c r="O365" s="5" t="s">
        <v>122</v>
      </c>
    </row>
    <row r="366" spans="13:15" x14ac:dyDescent="0.25">
      <c r="M366" s="4">
        <v>4231</v>
      </c>
      <c r="N366" s="4" t="s">
        <v>452</v>
      </c>
      <c r="O366" s="5" t="s">
        <v>122</v>
      </c>
    </row>
    <row r="367" spans="13:15" x14ac:dyDescent="0.25">
      <c r="M367" s="4">
        <v>3066</v>
      </c>
      <c r="N367" s="4" t="s">
        <v>453</v>
      </c>
      <c r="O367" s="5" t="s">
        <v>96</v>
      </c>
    </row>
    <row r="368" spans="13:15" x14ac:dyDescent="0.25">
      <c r="M368" s="4">
        <v>7025</v>
      </c>
      <c r="N368" s="4" t="s">
        <v>454</v>
      </c>
      <c r="O368" s="5" t="s">
        <v>147</v>
      </c>
    </row>
    <row r="369" spans="13:15" x14ac:dyDescent="0.25">
      <c r="M369" s="4">
        <v>3016</v>
      </c>
      <c r="N369" s="4" t="s">
        <v>455</v>
      </c>
      <c r="O369" s="5" t="s">
        <v>122</v>
      </c>
    </row>
    <row r="370" spans="13:15" x14ac:dyDescent="0.25">
      <c r="M370" s="4">
        <v>7937</v>
      </c>
      <c r="N370" s="4" t="s">
        <v>456</v>
      </c>
      <c r="O370" s="5" t="s">
        <v>162</v>
      </c>
    </row>
    <row r="371" spans="13:15" x14ac:dyDescent="0.25">
      <c r="M371" s="4">
        <v>3884</v>
      </c>
      <c r="N371" s="4" t="s">
        <v>457</v>
      </c>
      <c r="O371" s="5" t="s">
        <v>162</v>
      </c>
    </row>
    <row r="372" spans="13:15" x14ac:dyDescent="0.25">
      <c r="M372" s="4">
        <v>3885</v>
      </c>
      <c r="N372" s="4" t="s">
        <v>458</v>
      </c>
      <c r="O372" s="5" t="s">
        <v>162</v>
      </c>
    </row>
    <row r="373" spans="13:15" x14ac:dyDescent="0.25">
      <c r="M373" s="4">
        <v>3794</v>
      </c>
      <c r="N373" s="4" t="s">
        <v>459</v>
      </c>
      <c r="O373" s="5" t="s">
        <v>145</v>
      </c>
    </row>
    <row r="374" spans="13:15" x14ac:dyDescent="0.25">
      <c r="M374" s="4">
        <v>7517</v>
      </c>
      <c r="N374" s="4" t="s">
        <v>460</v>
      </c>
      <c r="O374" s="5" t="s">
        <v>117</v>
      </c>
    </row>
    <row r="375" spans="13:15" x14ac:dyDescent="0.25">
      <c r="M375" s="4">
        <v>7586</v>
      </c>
      <c r="N375" s="4" t="s">
        <v>461</v>
      </c>
      <c r="O375" s="5" t="s">
        <v>96</v>
      </c>
    </row>
    <row r="376" spans="13:15" x14ac:dyDescent="0.25">
      <c r="M376" s="4">
        <v>7754</v>
      </c>
      <c r="N376" s="4" t="s">
        <v>462</v>
      </c>
      <c r="O376" s="5" t="s">
        <v>129</v>
      </c>
    </row>
    <row r="377" spans="13:15" x14ac:dyDescent="0.25">
      <c r="M377" s="4">
        <v>8992</v>
      </c>
      <c r="N377" s="4" t="s">
        <v>463</v>
      </c>
      <c r="O377" s="5" t="s">
        <v>147</v>
      </c>
    </row>
    <row r="378" spans="13:15" x14ac:dyDescent="0.25">
      <c r="M378" s="4">
        <v>7281</v>
      </c>
      <c r="N378" s="4" t="s">
        <v>464</v>
      </c>
      <c r="O378" s="5" t="s">
        <v>100</v>
      </c>
    </row>
    <row r="379" spans="13:15" x14ac:dyDescent="0.25">
      <c r="M379" s="4">
        <v>9073</v>
      </c>
      <c r="N379" s="4" t="s">
        <v>465</v>
      </c>
      <c r="O379" s="5" t="s">
        <v>100</v>
      </c>
    </row>
    <row r="380" spans="13:15" x14ac:dyDescent="0.25">
      <c r="M380" s="4">
        <v>7187</v>
      </c>
      <c r="N380" s="4" t="s">
        <v>466</v>
      </c>
      <c r="O380" s="5" t="s">
        <v>100</v>
      </c>
    </row>
    <row r="381" spans="13:15" x14ac:dyDescent="0.25">
      <c r="M381" s="4">
        <v>7150</v>
      </c>
      <c r="N381" s="4" t="s">
        <v>466</v>
      </c>
      <c r="O381" s="5" t="s">
        <v>100</v>
      </c>
    </row>
    <row r="382" spans="13:15" x14ac:dyDescent="0.25">
      <c r="M382" s="4">
        <v>7158</v>
      </c>
      <c r="N382" s="4" t="s">
        <v>467</v>
      </c>
      <c r="O382" s="5" t="s">
        <v>100</v>
      </c>
    </row>
    <row r="383" spans="13:15" x14ac:dyDescent="0.25">
      <c r="M383" s="4">
        <v>9152</v>
      </c>
      <c r="N383" s="4" t="s">
        <v>468</v>
      </c>
      <c r="O383" s="5" t="s">
        <v>100</v>
      </c>
    </row>
    <row r="384" spans="13:15" x14ac:dyDescent="0.25">
      <c r="M384" s="4">
        <v>6795</v>
      </c>
      <c r="N384" s="4" t="s">
        <v>469</v>
      </c>
      <c r="O384" s="5" t="s">
        <v>100</v>
      </c>
    </row>
    <row r="385" spans="13:15" x14ac:dyDescent="0.25">
      <c r="M385" s="4">
        <v>9554</v>
      </c>
      <c r="N385" s="4" t="s">
        <v>470</v>
      </c>
      <c r="O385" s="5" t="s">
        <v>169</v>
      </c>
    </row>
    <row r="386" spans="13:15" x14ac:dyDescent="0.25">
      <c r="M386" s="4">
        <v>7756</v>
      </c>
      <c r="N386" s="4" t="s">
        <v>471</v>
      </c>
      <c r="O386" s="5" t="s">
        <v>112</v>
      </c>
    </row>
    <row r="387" spans="13:15" x14ac:dyDescent="0.25">
      <c r="M387" s="4">
        <v>6445</v>
      </c>
      <c r="N387" s="4" t="s">
        <v>472</v>
      </c>
      <c r="O387" s="5" t="s">
        <v>112</v>
      </c>
    </row>
    <row r="388" spans="13:15" x14ac:dyDescent="0.25">
      <c r="M388" s="4">
        <v>8885</v>
      </c>
      <c r="N388" s="4" t="s">
        <v>473</v>
      </c>
      <c r="O388" s="5" t="s">
        <v>96</v>
      </c>
    </row>
    <row r="389" spans="13:15" x14ac:dyDescent="0.25">
      <c r="M389" s="4">
        <v>3658</v>
      </c>
      <c r="N389" s="4" t="s">
        <v>474</v>
      </c>
      <c r="O389" s="5" t="s">
        <v>134</v>
      </c>
    </row>
    <row r="390" spans="13:15" x14ac:dyDescent="0.25">
      <c r="M390" s="4">
        <v>3426</v>
      </c>
      <c r="N390" s="4" t="s">
        <v>475</v>
      </c>
      <c r="O390" s="5" t="s">
        <v>96</v>
      </c>
    </row>
    <row r="391" spans="13:15" x14ac:dyDescent="0.25">
      <c r="M391" s="4">
        <v>3462</v>
      </c>
      <c r="N391" s="4" t="s">
        <v>476</v>
      </c>
      <c r="O391" s="5" t="s">
        <v>117</v>
      </c>
    </row>
    <row r="392" spans="13:15" x14ac:dyDescent="0.25">
      <c r="M392" s="4">
        <v>3672</v>
      </c>
      <c r="N392" s="4" t="s">
        <v>477</v>
      </c>
      <c r="O392" s="5" t="s">
        <v>117</v>
      </c>
    </row>
    <row r="393" spans="13:15" x14ac:dyDescent="0.25">
      <c r="M393" s="4">
        <v>3671</v>
      </c>
      <c r="N393" s="4" t="s">
        <v>477</v>
      </c>
      <c r="O393" s="5" t="s">
        <v>100</v>
      </c>
    </row>
    <row r="394" spans="13:15" x14ac:dyDescent="0.25">
      <c r="M394" s="4">
        <v>3623</v>
      </c>
      <c r="N394" s="4" t="s">
        <v>478</v>
      </c>
      <c r="O394" s="5" t="s">
        <v>117</v>
      </c>
    </row>
    <row r="395" spans="13:15" x14ac:dyDescent="0.25">
      <c r="M395" s="4">
        <v>3796</v>
      </c>
      <c r="N395" s="4" t="s">
        <v>479</v>
      </c>
      <c r="O395" s="5" t="s">
        <v>100</v>
      </c>
    </row>
    <row r="396" spans="13:15" x14ac:dyDescent="0.25">
      <c r="M396" s="4">
        <v>2644</v>
      </c>
      <c r="N396" s="4" t="s">
        <v>480</v>
      </c>
      <c r="O396" s="5" t="s">
        <v>147</v>
      </c>
    </row>
    <row r="397" spans="13:15" x14ac:dyDescent="0.25">
      <c r="M397" s="4">
        <v>8479</v>
      </c>
      <c r="N397" s="4" t="s">
        <v>481</v>
      </c>
      <c r="O397" s="5" t="s">
        <v>147</v>
      </c>
    </row>
    <row r="398" spans="13:15" x14ac:dyDescent="0.25">
      <c r="M398" s="4">
        <v>8428</v>
      </c>
      <c r="N398" s="4" t="s">
        <v>482</v>
      </c>
      <c r="O398" s="5" t="s">
        <v>117</v>
      </c>
    </row>
    <row r="399" spans="13:15" x14ac:dyDescent="0.25">
      <c r="M399" s="4">
        <v>8772</v>
      </c>
      <c r="N399" s="4" t="s">
        <v>483</v>
      </c>
      <c r="O399" s="5" t="s">
        <v>117</v>
      </c>
    </row>
    <row r="400" spans="13:15" x14ac:dyDescent="0.25">
      <c r="M400" s="4">
        <v>9167</v>
      </c>
      <c r="N400" s="4" t="s">
        <v>484</v>
      </c>
      <c r="O400" s="5" t="s">
        <v>122</v>
      </c>
    </row>
    <row r="401" spans="13:15" x14ac:dyDescent="0.25">
      <c r="M401" s="4">
        <v>7811</v>
      </c>
      <c r="N401" s="4" t="s">
        <v>485</v>
      </c>
      <c r="O401" s="5" t="s">
        <v>134</v>
      </c>
    </row>
    <row r="402" spans="13:15" x14ac:dyDescent="0.25">
      <c r="M402" s="4">
        <v>7475</v>
      </c>
      <c r="N402" s="4" t="s">
        <v>486</v>
      </c>
      <c r="O402" s="5" t="s">
        <v>162</v>
      </c>
    </row>
    <row r="403" spans="13:15" x14ac:dyDescent="0.25">
      <c r="M403" s="4">
        <v>4955</v>
      </c>
      <c r="N403" s="4" t="s">
        <v>487</v>
      </c>
      <c r="O403" s="5" t="s">
        <v>107</v>
      </c>
    </row>
    <row r="404" spans="13:15" x14ac:dyDescent="0.25">
      <c r="M404" s="4">
        <v>7900</v>
      </c>
      <c r="N404" s="4" t="s">
        <v>488</v>
      </c>
      <c r="O404" s="5" t="s">
        <v>107</v>
      </c>
    </row>
    <row r="405" spans="13:15" x14ac:dyDescent="0.25">
      <c r="M405" s="4">
        <v>9727</v>
      </c>
      <c r="N405" s="4" t="s">
        <v>489</v>
      </c>
      <c r="O405" s="5" t="s">
        <v>147</v>
      </c>
    </row>
    <row r="406" spans="13:15" x14ac:dyDescent="0.25">
      <c r="M406" s="4">
        <v>3994</v>
      </c>
      <c r="N406" s="4" t="s">
        <v>490</v>
      </c>
      <c r="O406" s="5" t="s">
        <v>107</v>
      </c>
    </row>
    <row r="407" spans="13:15" x14ac:dyDescent="0.25">
      <c r="M407" s="4">
        <v>9752</v>
      </c>
      <c r="N407" s="4" t="s">
        <v>491</v>
      </c>
      <c r="O407" s="5" t="s">
        <v>122</v>
      </c>
    </row>
    <row r="408" spans="13:15" x14ac:dyDescent="0.25">
      <c r="M408" s="4">
        <v>5527</v>
      </c>
      <c r="N408" s="4" t="s">
        <v>492</v>
      </c>
      <c r="O408" s="5" t="s">
        <v>152</v>
      </c>
    </row>
    <row r="409" spans="13:15" x14ac:dyDescent="0.25">
      <c r="M409" s="4">
        <v>9792</v>
      </c>
      <c r="N409" s="4" t="s">
        <v>493</v>
      </c>
      <c r="O409" s="5" t="s">
        <v>117</v>
      </c>
    </row>
    <row r="410" spans="13:15" x14ac:dyDescent="0.25">
      <c r="M410" s="4">
        <v>8925</v>
      </c>
      <c r="N410" s="4" t="s">
        <v>494</v>
      </c>
      <c r="O410" s="5" t="s">
        <v>147</v>
      </c>
    </row>
    <row r="411" spans="13:15" x14ac:dyDescent="0.25">
      <c r="M411" s="4">
        <v>8893</v>
      </c>
      <c r="N411" s="4" t="s">
        <v>495</v>
      </c>
      <c r="O411" s="5" t="s">
        <v>147</v>
      </c>
    </row>
    <row r="412" spans="13:15" x14ac:dyDescent="0.25">
      <c r="M412" s="4">
        <v>2093</v>
      </c>
      <c r="N412" s="4" t="s">
        <v>496</v>
      </c>
      <c r="O412" s="5" t="s">
        <v>110</v>
      </c>
    </row>
    <row r="413" spans="13:15" x14ac:dyDescent="0.25">
      <c r="M413" s="4">
        <v>2011</v>
      </c>
      <c r="N413" s="4" t="s">
        <v>497</v>
      </c>
      <c r="O413" s="5" t="s">
        <v>110</v>
      </c>
    </row>
    <row r="414" spans="13:15" x14ac:dyDescent="0.25">
      <c r="M414" s="4">
        <v>2092</v>
      </c>
      <c r="N414" s="4" t="s">
        <v>498</v>
      </c>
      <c r="O414" s="5" t="s">
        <v>110</v>
      </c>
    </row>
    <row r="415" spans="13:15" x14ac:dyDescent="0.25">
      <c r="M415" s="4">
        <v>2040</v>
      </c>
      <c r="N415" s="4" t="s">
        <v>499</v>
      </c>
      <c r="O415" s="5" t="s">
        <v>110</v>
      </c>
    </row>
  </sheetData>
  <sortState ref="C4:D23">
    <sortCondition ref="D1:D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G6" sqref="G6"/>
    </sheetView>
  </sheetViews>
  <sheetFormatPr defaultRowHeight="15" x14ac:dyDescent="0.25"/>
  <cols>
    <col min="1" max="1" width="10.7109375" bestFit="1" customWidth="1"/>
    <col min="2" max="2" width="10.140625" bestFit="1" customWidth="1"/>
    <col min="3" max="3" width="17.85546875" bestFit="1" customWidth="1"/>
    <col min="4" max="4" width="13.5703125" bestFit="1" customWidth="1"/>
    <col min="8" max="8" width="46.7109375" bestFit="1" customWidth="1"/>
  </cols>
  <sheetData>
    <row r="1" spans="1:8" ht="15.75" x14ac:dyDescent="0.25">
      <c r="A1" s="13" t="s">
        <v>547</v>
      </c>
      <c r="H1" t="s">
        <v>551</v>
      </c>
    </row>
    <row r="2" spans="1:8" ht="15.75" x14ac:dyDescent="0.25">
      <c r="A2" s="13" t="s">
        <v>554</v>
      </c>
      <c r="H2" t="s">
        <v>552</v>
      </c>
    </row>
    <row r="3" spans="1:8" ht="15.75" x14ac:dyDescent="0.25">
      <c r="A3" s="13" t="s">
        <v>555</v>
      </c>
    </row>
    <row r="4" spans="1:8" x14ac:dyDescent="0.25">
      <c r="A4" s="10" t="s">
        <v>543</v>
      </c>
      <c r="B4" s="10" t="s">
        <v>544</v>
      </c>
      <c r="C4" s="10" t="s">
        <v>553</v>
      </c>
      <c r="D4" s="10" t="s">
        <v>550</v>
      </c>
    </row>
    <row r="5" spans="1:8" x14ac:dyDescent="0.25">
      <c r="A5" s="11" t="s">
        <v>511</v>
      </c>
      <c r="B5" s="11" t="s">
        <v>539</v>
      </c>
      <c r="C5" s="12">
        <v>160</v>
      </c>
      <c r="D5" s="20">
        <f>($C5-160)*1200+1200*0.2+$C5*1200</f>
        <v>192240</v>
      </c>
    </row>
    <row r="6" spans="1:8" x14ac:dyDescent="0.25">
      <c r="A6" s="11" t="s">
        <v>506</v>
      </c>
      <c r="B6" s="11" t="s">
        <v>539</v>
      </c>
      <c r="C6" s="12">
        <v>152</v>
      </c>
      <c r="D6" s="20">
        <f t="shared" ref="D6:D24" si="0">($C6-160)*1200+1200*0.2+$C6*1200</f>
        <v>173040</v>
      </c>
    </row>
    <row r="7" spans="1:8" x14ac:dyDescent="0.25">
      <c r="A7" s="11" t="s">
        <v>519</v>
      </c>
      <c r="B7" s="11" t="s">
        <v>539</v>
      </c>
      <c r="C7" s="12">
        <v>160</v>
      </c>
      <c r="D7" s="20">
        <f t="shared" si="0"/>
        <v>192240</v>
      </c>
    </row>
    <row r="8" spans="1:8" x14ac:dyDescent="0.25">
      <c r="A8" s="11" t="s">
        <v>508</v>
      </c>
      <c r="B8" s="11" t="s">
        <v>539</v>
      </c>
      <c r="C8" s="12">
        <v>224</v>
      </c>
      <c r="D8" s="20">
        <f t="shared" si="0"/>
        <v>345840</v>
      </c>
    </row>
    <row r="9" spans="1:8" x14ac:dyDescent="0.25">
      <c r="A9" s="11" t="s">
        <v>505</v>
      </c>
      <c r="B9" s="11" t="s">
        <v>539</v>
      </c>
      <c r="C9" s="12">
        <v>168</v>
      </c>
      <c r="D9" s="20">
        <f t="shared" si="0"/>
        <v>211440</v>
      </c>
    </row>
    <row r="10" spans="1:8" x14ac:dyDescent="0.25">
      <c r="A10" s="11" t="s">
        <v>500</v>
      </c>
      <c r="B10" s="11" t="s">
        <v>539</v>
      </c>
      <c r="C10" s="12">
        <v>156</v>
      </c>
      <c r="D10" s="20">
        <f t="shared" si="0"/>
        <v>182640</v>
      </c>
    </row>
    <row r="11" spans="1:8" x14ac:dyDescent="0.25">
      <c r="A11" s="11" t="s">
        <v>502</v>
      </c>
      <c r="B11" s="11" t="s">
        <v>539</v>
      </c>
      <c r="C11" s="12">
        <v>164</v>
      </c>
      <c r="D11" s="20">
        <f t="shared" si="0"/>
        <v>201840</v>
      </c>
    </row>
    <row r="12" spans="1:8" x14ac:dyDescent="0.25">
      <c r="A12" s="11" t="s">
        <v>517</v>
      </c>
      <c r="B12" s="11" t="s">
        <v>539</v>
      </c>
      <c r="C12" s="12">
        <v>160</v>
      </c>
      <c r="D12" s="20">
        <f t="shared" si="0"/>
        <v>192240</v>
      </c>
    </row>
    <row r="13" spans="1:8" x14ac:dyDescent="0.25">
      <c r="A13" s="11" t="s">
        <v>509</v>
      </c>
      <c r="B13" s="11" t="s">
        <v>539</v>
      </c>
      <c r="C13" s="12">
        <v>112</v>
      </c>
      <c r="D13" s="20">
        <f t="shared" si="0"/>
        <v>77040</v>
      </c>
    </row>
    <row r="14" spans="1:8" x14ac:dyDescent="0.25">
      <c r="A14" s="11" t="s">
        <v>510</v>
      </c>
      <c r="B14" s="11" t="s">
        <v>539</v>
      </c>
      <c r="C14" s="12">
        <v>132</v>
      </c>
      <c r="D14" s="20">
        <f t="shared" si="0"/>
        <v>125040</v>
      </c>
    </row>
    <row r="15" spans="1:8" x14ac:dyDescent="0.25">
      <c r="A15" s="11" t="s">
        <v>518</v>
      </c>
      <c r="B15" s="11" t="s">
        <v>539</v>
      </c>
      <c r="C15" s="12">
        <v>220</v>
      </c>
      <c r="D15" s="20">
        <f t="shared" si="0"/>
        <v>336240</v>
      </c>
    </row>
    <row r="16" spans="1:8" x14ac:dyDescent="0.25">
      <c r="A16" s="11" t="s">
        <v>501</v>
      </c>
      <c r="B16" s="11" t="s">
        <v>539</v>
      </c>
      <c r="C16" s="12">
        <v>192</v>
      </c>
      <c r="D16" s="20">
        <f t="shared" si="0"/>
        <v>269040</v>
      </c>
    </row>
    <row r="17" spans="1:4" x14ac:dyDescent="0.25">
      <c r="A17" s="11" t="s">
        <v>514</v>
      </c>
      <c r="B17" s="11" t="s">
        <v>539</v>
      </c>
      <c r="C17" s="12">
        <v>192</v>
      </c>
      <c r="D17" s="20">
        <f t="shared" si="0"/>
        <v>269040</v>
      </c>
    </row>
    <row r="18" spans="1:4" x14ac:dyDescent="0.25">
      <c r="A18" s="11" t="s">
        <v>515</v>
      </c>
      <c r="B18" s="11" t="s">
        <v>539</v>
      </c>
      <c r="C18" s="12">
        <v>184</v>
      </c>
      <c r="D18" s="20">
        <f t="shared" si="0"/>
        <v>249840</v>
      </c>
    </row>
    <row r="19" spans="1:4" x14ac:dyDescent="0.25">
      <c r="A19" s="11" t="s">
        <v>516</v>
      </c>
      <c r="B19" s="11" t="s">
        <v>539</v>
      </c>
      <c r="C19" s="12">
        <v>160</v>
      </c>
      <c r="D19" s="20">
        <f t="shared" si="0"/>
        <v>192240</v>
      </c>
    </row>
    <row r="20" spans="1:4" x14ac:dyDescent="0.25">
      <c r="A20" s="11" t="s">
        <v>503</v>
      </c>
      <c r="B20" s="11" t="s">
        <v>539</v>
      </c>
      <c r="C20" s="12">
        <v>156</v>
      </c>
      <c r="D20" s="20">
        <f t="shared" si="0"/>
        <v>182640</v>
      </c>
    </row>
    <row r="21" spans="1:4" x14ac:dyDescent="0.25">
      <c r="A21" s="11" t="s">
        <v>512</v>
      </c>
      <c r="B21" s="11" t="s">
        <v>539</v>
      </c>
      <c r="C21" s="12">
        <v>160</v>
      </c>
      <c r="D21" s="20">
        <f t="shared" si="0"/>
        <v>192240</v>
      </c>
    </row>
    <row r="22" spans="1:4" x14ac:dyDescent="0.25">
      <c r="A22" s="11" t="s">
        <v>507</v>
      </c>
      <c r="B22" s="11" t="s">
        <v>539</v>
      </c>
      <c r="C22" s="12">
        <v>160</v>
      </c>
      <c r="D22" s="20">
        <f t="shared" si="0"/>
        <v>192240</v>
      </c>
    </row>
    <row r="23" spans="1:4" x14ac:dyDescent="0.25">
      <c r="A23" s="11" t="s">
        <v>504</v>
      </c>
      <c r="B23" s="11" t="s">
        <v>539</v>
      </c>
      <c r="C23" s="12">
        <v>156</v>
      </c>
      <c r="D23" s="20">
        <f t="shared" si="0"/>
        <v>182640</v>
      </c>
    </row>
    <row r="24" spans="1:4" x14ac:dyDescent="0.25">
      <c r="A24" s="11" t="s">
        <v>513</v>
      </c>
      <c r="B24" s="11" t="s">
        <v>539</v>
      </c>
      <c r="C24" s="12">
        <v>156</v>
      </c>
      <c r="D24" s="20">
        <f t="shared" si="0"/>
        <v>182640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zoomScaleNormal="100" workbookViewId="0">
      <selection activeCell="J11" sqref="J11"/>
    </sheetView>
  </sheetViews>
  <sheetFormatPr defaultRowHeight="15" x14ac:dyDescent="0.25"/>
  <cols>
    <col min="1" max="1" width="12.5703125" bestFit="1" customWidth="1"/>
    <col min="2" max="3" width="7.28515625" bestFit="1" customWidth="1"/>
    <col min="4" max="4" width="9" bestFit="1" customWidth="1"/>
    <col min="5" max="5" width="18.28515625" bestFit="1" customWidth="1"/>
    <col min="6" max="6" width="16" bestFit="1" customWidth="1"/>
  </cols>
  <sheetData>
    <row r="1" spans="1:7" ht="15.75" x14ac:dyDescent="0.25">
      <c r="A1" s="13" t="s">
        <v>563</v>
      </c>
    </row>
    <row r="2" spans="1:7" ht="15.75" x14ac:dyDescent="0.25">
      <c r="A2" s="13" t="s">
        <v>547</v>
      </c>
    </row>
    <row r="3" spans="1:7" ht="15.75" x14ac:dyDescent="0.25">
      <c r="A3" s="13" t="s">
        <v>564</v>
      </c>
    </row>
    <row r="4" spans="1:7" x14ac:dyDescent="0.25">
      <c r="A4" s="9" t="s">
        <v>561</v>
      </c>
      <c r="B4" s="9" t="s">
        <v>558</v>
      </c>
      <c r="C4" s="9" t="s">
        <v>559</v>
      </c>
      <c r="D4" s="9" t="s">
        <v>560</v>
      </c>
      <c r="E4" s="9" t="s">
        <v>557</v>
      </c>
      <c r="F4" s="9" t="s">
        <v>556</v>
      </c>
    </row>
    <row r="5" spans="1:7" x14ac:dyDescent="0.25">
      <c r="A5" s="11">
        <v>1</v>
      </c>
      <c r="B5" s="15">
        <v>2300</v>
      </c>
      <c r="C5" s="15">
        <v>2200</v>
      </c>
      <c r="D5" s="15">
        <v>3900</v>
      </c>
      <c r="E5" s="15">
        <f>MAX($B5:$D5)</f>
        <v>3900</v>
      </c>
      <c r="F5" s="21" t="e">
        <f>HLOOKUP(E5,B4:D4,1,0)</f>
        <v>#N/A</v>
      </c>
    </row>
    <row r="6" spans="1:7" x14ac:dyDescent="0.25">
      <c r="A6" s="11">
        <v>2</v>
      </c>
      <c r="B6" s="15">
        <v>2900</v>
      </c>
      <c r="C6" s="15">
        <v>2800</v>
      </c>
      <c r="D6" s="15">
        <v>2700</v>
      </c>
      <c r="E6" s="15">
        <f t="shared" ref="E6:E35" si="0">MAX($B6:$D6)</f>
        <v>2900</v>
      </c>
      <c r="F6" s="14"/>
    </row>
    <row r="7" spans="1:7" x14ac:dyDescent="0.25">
      <c r="A7" s="11">
        <v>3</v>
      </c>
      <c r="B7" s="15">
        <v>0</v>
      </c>
      <c r="C7" s="15">
        <v>4100</v>
      </c>
      <c r="D7" s="15">
        <v>4300</v>
      </c>
      <c r="E7" s="15">
        <f t="shared" si="0"/>
        <v>4300</v>
      </c>
      <c r="F7" s="14"/>
    </row>
    <row r="8" spans="1:7" x14ac:dyDescent="0.25">
      <c r="A8" s="11">
        <v>4</v>
      </c>
      <c r="B8" s="15">
        <v>3300</v>
      </c>
      <c r="C8" s="15">
        <v>2700</v>
      </c>
      <c r="D8" s="15">
        <v>2200</v>
      </c>
      <c r="E8" s="15">
        <f t="shared" si="0"/>
        <v>3300</v>
      </c>
      <c r="F8" s="14"/>
    </row>
    <row r="9" spans="1:7" x14ac:dyDescent="0.25">
      <c r="A9" s="11">
        <v>5</v>
      </c>
      <c r="B9" s="15">
        <v>3500</v>
      </c>
      <c r="C9" s="15">
        <v>2700</v>
      </c>
      <c r="D9" s="15">
        <v>0</v>
      </c>
      <c r="E9" s="15">
        <f t="shared" si="0"/>
        <v>3500</v>
      </c>
      <c r="F9" s="14"/>
    </row>
    <row r="10" spans="1:7" x14ac:dyDescent="0.25">
      <c r="A10" s="11">
        <v>6</v>
      </c>
      <c r="B10" s="15">
        <v>3400</v>
      </c>
      <c r="C10" s="15">
        <v>2500</v>
      </c>
      <c r="D10" s="15">
        <v>0</v>
      </c>
      <c r="E10" s="15">
        <f t="shared" si="0"/>
        <v>3400</v>
      </c>
      <c r="F10" s="14"/>
      <c r="G10" s="7"/>
    </row>
    <row r="11" spans="1:7" x14ac:dyDescent="0.25">
      <c r="A11" s="11">
        <v>7</v>
      </c>
      <c r="B11" s="15">
        <v>3200</v>
      </c>
      <c r="C11" s="15">
        <v>2000</v>
      </c>
      <c r="D11" s="15">
        <v>3400</v>
      </c>
      <c r="E11" s="15">
        <f t="shared" si="0"/>
        <v>3400</v>
      </c>
      <c r="F11" s="14"/>
      <c r="G11" s="7"/>
    </row>
    <row r="12" spans="1:7" x14ac:dyDescent="0.25">
      <c r="A12" s="11">
        <v>8</v>
      </c>
      <c r="B12" s="15">
        <v>2800</v>
      </c>
      <c r="C12" s="15">
        <v>2300</v>
      </c>
      <c r="D12" s="15">
        <v>3400</v>
      </c>
      <c r="E12" s="15">
        <f t="shared" si="0"/>
        <v>3400</v>
      </c>
      <c r="F12" s="11"/>
      <c r="G12" s="7"/>
    </row>
    <row r="13" spans="1:7" x14ac:dyDescent="0.25">
      <c r="A13" s="11">
        <v>9</v>
      </c>
      <c r="B13" s="15">
        <v>3510</v>
      </c>
      <c r="C13" s="15">
        <v>3500</v>
      </c>
      <c r="D13" s="15">
        <v>2600</v>
      </c>
      <c r="E13" s="15">
        <f t="shared" si="0"/>
        <v>3510</v>
      </c>
      <c r="F13" s="11"/>
      <c r="G13" s="7"/>
    </row>
    <row r="14" spans="1:7" x14ac:dyDescent="0.25">
      <c r="A14" s="11">
        <v>10</v>
      </c>
      <c r="B14" s="15">
        <v>3500</v>
      </c>
      <c r="C14" s="15">
        <v>2300</v>
      </c>
      <c r="D14" s="15">
        <v>3400</v>
      </c>
      <c r="E14" s="15">
        <f t="shared" si="0"/>
        <v>3500</v>
      </c>
      <c r="F14" s="14"/>
      <c r="G14" s="7"/>
    </row>
    <row r="15" spans="1:7" x14ac:dyDescent="0.25">
      <c r="A15" s="11">
        <v>11</v>
      </c>
      <c r="B15" s="15">
        <v>3400</v>
      </c>
      <c r="C15" s="15">
        <v>4300</v>
      </c>
      <c r="D15" s="15">
        <v>2500</v>
      </c>
      <c r="E15" s="15">
        <f t="shared" si="0"/>
        <v>4300</v>
      </c>
      <c r="F15" s="14"/>
      <c r="G15" s="7"/>
    </row>
    <row r="16" spans="1:7" x14ac:dyDescent="0.25">
      <c r="A16" s="11">
        <v>12</v>
      </c>
      <c r="B16" s="15">
        <v>2500</v>
      </c>
      <c r="C16" s="15">
        <v>2200</v>
      </c>
      <c r="D16" s="15">
        <v>2000</v>
      </c>
      <c r="E16" s="15">
        <f t="shared" si="0"/>
        <v>2500</v>
      </c>
      <c r="F16" s="14"/>
      <c r="G16" s="7"/>
    </row>
    <row r="17" spans="1:7" x14ac:dyDescent="0.25">
      <c r="A17" s="11">
        <v>13</v>
      </c>
      <c r="B17" s="15">
        <v>2000</v>
      </c>
      <c r="C17" s="15">
        <v>3500</v>
      </c>
      <c r="D17" s="15">
        <v>2300</v>
      </c>
      <c r="E17" s="15">
        <f t="shared" si="0"/>
        <v>3500</v>
      </c>
      <c r="F17" s="14"/>
      <c r="G17" s="7"/>
    </row>
    <row r="18" spans="1:7" x14ac:dyDescent="0.25">
      <c r="A18" s="11">
        <v>14</v>
      </c>
      <c r="B18" s="15">
        <v>2300</v>
      </c>
      <c r="C18" s="15">
        <v>3400</v>
      </c>
      <c r="D18" s="15">
        <v>3500</v>
      </c>
      <c r="E18" s="15">
        <f t="shared" si="0"/>
        <v>3500</v>
      </c>
      <c r="F18" s="14"/>
    </row>
    <row r="19" spans="1:7" x14ac:dyDescent="0.25">
      <c r="A19" s="11">
        <v>15</v>
      </c>
      <c r="B19" s="15">
        <v>4300</v>
      </c>
      <c r="C19" s="15">
        <v>2500</v>
      </c>
      <c r="D19" s="15">
        <v>3400</v>
      </c>
      <c r="E19" s="15">
        <f t="shared" si="0"/>
        <v>4300</v>
      </c>
      <c r="F19" s="14"/>
    </row>
    <row r="20" spans="1:7" x14ac:dyDescent="0.25">
      <c r="A20" s="11">
        <v>16</v>
      </c>
      <c r="B20" s="15">
        <v>2200</v>
      </c>
      <c r="C20" s="15">
        <v>2000</v>
      </c>
      <c r="D20" s="15">
        <v>2500</v>
      </c>
      <c r="E20" s="15">
        <f t="shared" si="0"/>
        <v>2500</v>
      </c>
      <c r="F20" s="14"/>
    </row>
    <row r="21" spans="1:7" x14ac:dyDescent="0.25">
      <c r="A21" s="11">
        <v>17</v>
      </c>
      <c r="B21" s="15">
        <v>0</v>
      </c>
      <c r="C21" s="15">
        <v>2300</v>
      </c>
      <c r="D21" s="15">
        <v>2000</v>
      </c>
      <c r="E21" s="15">
        <f t="shared" si="0"/>
        <v>2300</v>
      </c>
      <c r="F21" s="14"/>
    </row>
    <row r="22" spans="1:7" x14ac:dyDescent="0.25">
      <c r="A22" s="11">
        <v>18</v>
      </c>
      <c r="B22" s="15">
        <v>0</v>
      </c>
      <c r="C22" s="15">
        <v>4300</v>
      </c>
      <c r="D22" s="15">
        <v>2300</v>
      </c>
      <c r="E22" s="15">
        <f t="shared" si="0"/>
        <v>4300</v>
      </c>
      <c r="F22" s="14"/>
    </row>
    <row r="23" spans="1:7" x14ac:dyDescent="0.25">
      <c r="A23" s="11">
        <v>19</v>
      </c>
      <c r="B23" s="15">
        <v>1900</v>
      </c>
      <c r="C23" s="15">
        <v>2200</v>
      </c>
      <c r="D23" s="15">
        <v>4300</v>
      </c>
      <c r="E23" s="15">
        <f t="shared" si="0"/>
        <v>4300</v>
      </c>
      <c r="F23" s="14"/>
    </row>
    <row r="24" spans="1:7" x14ac:dyDescent="0.25">
      <c r="A24" s="11">
        <v>20</v>
      </c>
      <c r="B24" s="15">
        <v>1900</v>
      </c>
      <c r="C24" s="15">
        <v>0</v>
      </c>
      <c r="D24" s="15">
        <v>2200</v>
      </c>
      <c r="E24" s="15">
        <f t="shared" si="0"/>
        <v>2200</v>
      </c>
      <c r="F24" s="14"/>
    </row>
    <row r="25" spans="1:7" x14ac:dyDescent="0.25">
      <c r="A25" s="11">
        <v>21</v>
      </c>
      <c r="B25" s="15">
        <v>0</v>
      </c>
      <c r="C25" s="15">
        <v>0</v>
      </c>
      <c r="D25" s="15">
        <v>1000</v>
      </c>
      <c r="E25" s="15">
        <f t="shared" si="0"/>
        <v>1000</v>
      </c>
      <c r="F25" s="14"/>
    </row>
    <row r="26" spans="1:7" x14ac:dyDescent="0.25">
      <c r="A26" s="11">
        <v>22</v>
      </c>
      <c r="B26" s="15">
        <v>3500</v>
      </c>
      <c r="C26" s="15">
        <v>0</v>
      </c>
      <c r="D26" s="15">
        <v>1000</v>
      </c>
      <c r="E26" s="15">
        <f t="shared" si="0"/>
        <v>3500</v>
      </c>
      <c r="F26" s="14"/>
    </row>
    <row r="27" spans="1:7" x14ac:dyDescent="0.25">
      <c r="A27" s="11">
        <v>23</v>
      </c>
      <c r="B27" s="15">
        <v>3400</v>
      </c>
      <c r="C27" s="15">
        <v>1800</v>
      </c>
      <c r="D27" s="15">
        <v>3300</v>
      </c>
      <c r="E27" s="15">
        <f t="shared" si="0"/>
        <v>3400</v>
      </c>
      <c r="F27" s="14"/>
    </row>
    <row r="28" spans="1:7" x14ac:dyDescent="0.25">
      <c r="A28" s="11">
        <v>24</v>
      </c>
      <c r="B28" s="15">
        <v>2500</v>
      </c>
      <c r="C28" s="15">
        <v>0</v>
      </c>
      <c r="D28" s="15">
        <v>3300</v>
      </c>
      <c r="E28" s="15">
        <f t="shared" si="0"/>
        <v>3300</v>
      </c>
      <c r="F28" s="14"/>
    </row>
    <row r="29" spans="1:7" x14ac:dyDescent="0.25">
      <c r="A29" s="11">
        <v>25</v>
      </c>
      <c r="B29" s="15">
        <v>2000</v>
      </c>
      <c r="C29" s="15">
        <v>3500</v>
      </c>
      <c r="D29" s="15">
        <v>2000</v>
      </c>
      <c r="E29" s="15">
        <f t="shared" si="0"/>
        <v>3500</v>
      </c>
      <c r="F29" s="14"/>
    </row>
    <row r="30" spans="1:7" x14ac:dyDescent="0.25">
      <c r="A30" s="11">
        <v>26</v>
      </c>
      <c r="B30" s="15">
        <v>2300</v>
      </c>
      <c r="C30" s="15">
        <v>3400</v>
      </c>
      <c r="D30" s="15">
        <v>2300</v>
      </c>
      <c r="E30" s="15">
        <f t="shared" si="0"/>
        <v>3400</v>
      </c>
      <c r="F30" s="14"/>
    </row>
    <row r="31" spans="1:7" x14ac:dyDescent="0.25">
      <c r="A31" s="11">
        <v>27</v>
      </c>
      <c r="B31" s="15">
        <v>4300</v>
      </c>
      <c r="C31" s="15">
        <v>2500</v>
      </c>
      <c r="D31" s="15">
        <v>3500</v>
      </c>
      <c r="E31" s="15">
        <f t="shared" si="0"/>
        <v>4300</v>
      </c>
      <c r="F31" s="14"/>
    </row>
    <row r="32" spans="1:7" x14ac:dyDescent="0.25">
      <c r="A32" s="11">
        <v>28</v>
      </c>
      <c r="B32" s="15">
        <v>2200</v>
      </c>
      <c r="C32" s="15">
        <v>2000</v>
      </c>
      <c r="D32" s="15">
        <v>3400</v>
      </c>
      <c r="E32" s="15">
        <f t="shared" si="0"/>
        <v>3400</v>
      </c>
      <c r="F32" s="14"/>
    </row>
    <row r="33" spans="1:6" x14ac:dyDescent="0.25">
      <c r="A33" s="11">
        <v>29</v>
      </c>
      <c r="B33" s="15">
        <v>0</v>
      </c>
      <c r="C33" s="15">
        <v>2300</v>
      </c>
      <c r="D33" s="15">
        <v>2500</v>
      </c>
      <c r="E33" s="15">
        <f t="shared" si="0"/>
        <v>2500</v>
      </c>
      <c r="F33" s="14"/>
    </row>
    <row r="34" spans="1:6" x14ac:dyDescent="0.25">
      <c r="A34" s="11">
        <v>30</v>
      </c>
      <c r="B34" s="15">
        <v>1800</v>
      </c>
      <c r="C34" s="15">
        <v>4300</v>
      </c>
      <c r="D34" s="15">
        <v>2000</v>
      </c>
      <c r="E34" s="15">
        <f t="shared" si="0"/>
        <v>4300</v>
      </c>
      <c r="F34" s="14"/>
    </row>
    <row r="35" spans="1:6" ht="15.75" thickBot="1" x14ac:dyDescent="0.3">
      <c r="A35" s="11">
        <v>31</v>
      </c>
      <c r="B35" s="15">
        <v>1800</v>
      </c>
      <c r="C35" s="15">
        <v>2200</v>
      </c>
      <c r="D35" s="15">
        <v>2300</v>
      </c>
      <c r="E35" s="15">
        <f t="shared" si="0"/>
        <v>2300</v>
      </c>
      <c r="F35" s="14"/>
    </row>
    <row r="36" spans="1:6" ht="15.75" thickBot="1" x14ac:dyDescent="0.3">
      <c r="A36" s="16" t="s">
        <v>562</v>
      </c>
      <c r="B36" s="17"/>
      <c r="C36" s="18"/>
      <c r="D36" s="17"/>
      <c r="E36" s="19"/>
      <c r="F36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K23" sqref="K23"/>
    </sheetView>
  </sheetViews>
  <sheetFormatPr defaultRowHeight="15" x14ac:dyDescent="0.25"/>
  <sheetData>
    <row r="1" spans="1:2" ht="15.75" x14ac:dyDescent="0.25">
      <c r="A1" s="13" t="s">
        <v>566</v>
      </c>
    </row>
    <row r="2" spans="1:2" ht="15.75" x14ac:dyDescent="0.25">
      <c r="A2" s="13" t="s">
        <v>568</v>
      </c>
    </row>
    <row r="3" spans="1:2" ht="15.75" x14ac:dyDescent="0.25">
      <c r="A3" s="13" t="s">
        <v>567</v>
      </c>
    </row>
    <row r="5" spans="1:2" ht="15.75" x14ac:dyDescent="0.25">
      <c r="A5" s="23" t="s">
        <v>569</v>
      </c>
      <c r="B5" s="22">
        <v>0.12</v>
      </c>
    </row>
    <row r="6" spans="1:2" ht="15.75" x14ac:dyDescent="0.25">
      <c r="A6" s="24" t="s">
        <v>570</v>
      </c>
      <c r="B6" s="22">
        <v>0.24</v>
      </c>
    </row>
    <row r="7" spans="1:2" ht="15.75" x14ac:dyDescent="0.25">
      <c r="A7" s="24" t="s">
        <v>571</v>
      </c>
      <c r="B7" s="22">
        <v>0.22</v>
      </c>
    </row>
    <row r="8" spans="1:2" ht="15.75" x14ac:dyDescent="0.25">
      <c r="A8" s="24" t="s">
        <v>572</v>
      </c>
      <c r="B8" s="22">
        <v>0.21</v>
      </c>
    </row>
    <row r="9" spans="1:2" ht="15.75" x14ac:dyDescent="0.25">
      <c r="A9" s="24" t="s">
        <v>573</v>
      </c>
      <c r="B9" s="22">
        <v>0.14000000000000001</v>
      </c>
    </row>
    <row r="10" spans="1:2" ht="15.75" x14ac:dyDescent="0.25">
      <c r="A10" s="24" t="s">
        <v>574</v>
      </c>
      <c r="B10" s="22">
        <v>0.12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Olimpia</vt:lpstr>
      <vt:lpstr>Irányítószám</vt:lpstr>
      <vt:lpstr>Munkabér</vt:lpstr>
      <vt:lpstr>Áfonya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Marosi Gergely</dc:creator>
  <cp:lastModifiedBy>hu</cp:lastModifiedBy>
  <dcterms:created xsi:type="dcterms:W3CDTF">2017-09-09T17:43:31Z</dcterms:created>
  <dcterms:modified xsi:type="dcterms:W3CDTF">2026-09-10T07:59:39Z</dcterms:modified>
</cp:coreProperties>
</file>