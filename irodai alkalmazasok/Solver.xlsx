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lyák Panna\Downloads\"/>
    </mc:Choice>
  </mc:AlternateContent>
  <xr:revisionPtr revIDLastSave="0" documentId="13_ncr:1_{29E6341B-7901-48E6-8EA3-284253380B0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gyenletek" sheetId="3" r:id="rId1"/>
    <sheet name="egyenletrendszer" sheetId="5" r:id="rId2"/>
    <sheet name="kombinatorika" sheetId="6" r:id="rId3"/>
    <sheet name="buvosnegyzet" sheetId="2" r:id="rId4"/>
    <sheet name="Kredit" sheetId="7" r:id="rId5"/>
    <sheet name="Nyúl" sheetId="8" r:id="rId6"/>
    <sheet name="buvosnegyzet2" sheetId="9" r:id="rId7"/>
  </sheets>
  <definedNames>
    <definedName name="solver_adj" localSheetId="3" hidden="1">buvosnegyzet!$C$4:$D$4,buvosnegyzet!$B$6:$E$6,buvosnegyzet!$C$7</definedName>
    <definedName name="solver_adj" localSheetId="6" hidden="1">buvosnegyzet2!$C$4,buvosnegyzet2!$B$5,buvosnegyzet2!$C$6,buvosnegyzet2!$D$4,buvosnegyzet2!$E$5:$F$6</definedName>
    <definedName name="solver_adj" localSheetId="0" hidden="1">egyenletek!$C$6</definedName>
    <definedName name="solver_adj" localSheetId="1" hidden="1">egyenletrendszer!$B$3:$D$3</definedName>
    <definedName name="solver_adj" localSheetId="2" hidden="1">kombinatorika!$D$8:$F$8</definedName>
    <definedName name="solver_adj" localSheetId="4" hidden="1">Kredit!$E$11:$E$17</definedName>
    <definedName name="solver_adj" localSheetId="5" hidden="1">Nyúl!$B$6:$C$6</definedName>
    <definedName name="solver_cvg" localSheetId="3" hidden="1">0.0001</definedName>
    <definedName name="solver_cvg" localSheetId="6" hidden="1">0.0001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4" hidden="1">0.0001</definedName>
    <definedName name="solver_cvg" localSheetId="5" hidden="1">0.0001</definedName>
    <definedName name="solver_drv" localSheetId="3" hidden="1">1</definedName>
    <definedName name="solver_drv" localSheetId="6" hidden="1">1</definedName>
    <definedName name="solver_drv" localSheetId="0" hidden="1">1</definedName>
    <definedName name="solver_drv" localSheetId="1" hidden="1">2</definedName>
    <definedName name="solver_drv" localSheetId="2" hidden="1">1</definedName>
    <definedName name="solver_drv" localSheetId="4" hidden="1">2</definedName>
    <definedName name="solver_drv" localSheetId="5" hidden="1">2</definedName>
    <definedName name="solver_eng" localSheetId="3" hidden="1">1</definedName>
    <definedName name="solver_eng" localSheetId="6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4" hidden="1">1</definedName>
    <definedName name="solver_eng" localSheetId="5" hidden="1">1</definedName>
    <definedName name="solver_est" localSheetId="3" hidden="1">1</definedName>
    <definedName name="solver_est" localSheetId="6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4" hidden="1">1</definedName>
    <definedName name="solver_est" localSheetId="5" hidden="1">1</definedName>
    <definedName name="solver_itr" localSheetId="3" hidden="1">100</definedName>
    <definedName name="solver_itr" localSheetId="6" hidden="1">2147483647</definedName>
    <definedName name="solver_itr" localSheetId="0" hidden="1">100</definedName>
    <definedName name="solver_itr" localSheetId="1" hidden="1">2147483647</definedName>
    <definedName name="solver_itr" localSheetId="2" hidden="1">100</definedName>
    <definedName name="solver_itr" localSheetId="4" hidden="1">2147483647</definedName>
    <definedName name="solver_itr" localSheetId="5" hidden="1">2147483647</definedName>
    <definedName name="solver_lhs1" localSheetId="3" hidden="1">buvosnegyzet!$A$8:$E$8</definedName>
    <definedName name="solver_lhs1" localSheetId="6" hidden="1">buvosnegyzet2!$A$8:$G$8</definedName>
    <definedName name="solver_lhs1" localSheetId="0" hidden="1">egyenletek!$C$3</definedName>
    <definedName name="solver_lhs1" localSheetId="1" hidden="1">egyenletrendszer!$F$7:$F$9</definedName>
    <definedName name="solver_lhs1" localSheetId="2" hidden="1">kombinatorika!$G$10:$G$12</definedName>
    <definedName name="solver_lhs1" localSheetId="4" hidden="1">Kredit!$C$19</definedName>
    <definedName name="solver_lhs1" localSheetId="5" hidden="1">Nyúl!$E$2:$E$4</definedName>
    <definedName name="solver_lhs2" localSheetId="3" hidden="1">buvosnegyzet!$F$4:$F$8</definedName>
    <definedName name="solver_lhs2" localSheetId="6" hidden="1">buvosnegyzet2!$G$3:$G$8</definedName>
    <definedName name="solver_lhs2" localSheetId="2" hidden="1">kombinatorika!#REF!</definedName>
    <definedName name="solver_lhs2" localSheetId="4" hidden="1">Kredit!$E$11:$E$17</definedName>
    <definedName name="solver_lhs3" localSheetId="3" hidden="1">buvosnegyzet!$F$6:$F$8</definedName>
    <definedName name="solver_lin" localSheetId="3" hidden="1">2</definedName>
    <definedName name="solver_lin" localSheetId="0" hidden="1">2</definedName>
    <definedName name="solver_lin" localSheetId="2" hidden="1">2</definedName>
    <definedName name="solver_mip" localSheetId="3" hidden="1">2147483647</definedName>
    <definedName name="solver_mip" localSheetId="6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4" hidden="1">2147483647</definedName>
    <definedName name="solver_mip" localSheetId="5" hidden="1">2147483647</definedName>
    <definedName name="solver_mni" localSheetId="3" hidden="1">30</definedName>
    <definedName name="solver_mni" localSheetId="6" hidden="1">30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4" hidden="1">30</definedName>
    <definedName name="solver_mni" localSheetId="5" hidden="1">30</definedName>
    <definedName name="solver_mrt" localSheetId="3" hidden="1">0.075</definedName>
    <definedName name="solver_mrt" localSheetId="6" hidden="1">0.075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4" hidden="1">0.075</definedName>
    <definedName name="solver_mrt" localSheetId="5" hidden="1">0.075</definedName>
    <definedName name="solver_msl" localSheetId="3" hidden="1">2</definedName>
    <definedName name="solver_msl" localSheetId="6" hidden="1">2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4" hidden="1">2</definedName>
    <definedName name="solver_msl" localSheetId="5" hidden="1">2</definedName>
    <definedName name="solver_neg" localSheetId="3" hidden="1">2</definedName>
    <definedName name="solver_neg" localSheetId="6" hidden="1">1</definedName>
    <definedName name="solver_neg" localSheetId="0" hidden="1">2</definedName>
    <definedName name="solver_neg" localSheetId="1" hidden="1">2</definedName>
    <definedName name="solver_neg" localSheetId="2" hidden="1">2</definedName>
    <definedName name="solver_neg" localSheetId="4" hidden="1">1</definedName>
    <definedName name="solver_neg" localSheetId="5" hidden="1">1</definedName>
    <definedName name="solver_nod" localSheetId="3" hidden="1">2147483647</definedName>
    <definedName name="solver_nod" localSheetId="6" hidden="1">2147483647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4" hidden="1">2147483647</definedName>
    <definedName name="solver_nod" localSheetId="5" hidden="1">2147483647</definedName>
    <definedName name="solver_num" localSheetId="3" hidden="1">2</definedName>
    <definedName name="solver_num" localSheetId="6" hidden="1">2</definedName>
    <definedName name="solver_num" localSheetId="0" hidden="1">0</definedName>
    <definedName name="solver_num" localSheetId="1" hidden="1">1</definedName>
    <definedName name="solver_num" localSheetId="2" hidden="1">1</definedName>
    <definedName name="solver_num" localSheetId="4" hidden="1">2</definedName>
    <definedName name="solver_num" localSheetId="5" hidden="1">1</definedName>
    <definedName name="solver_nwt" localSheetId="3" hidden="1">1</definedName>
    <definedName name="solver_nwt" localSheetId="6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4" hidden="1">1</definedName>
    <definedName name="solver_nwt" localSheetId="5" hidden="1">1</definedName>
    <definedName name="solver_opt" localSheetId="3" hidden="1">buvosnegyzet!$N$6</definedName>
    <definedName name="solver_opt" localSheetId="0" hidden="1">egyenletek!$C$7</definedName>
    <definedName name="solver_opt" localSheetId="2" hidden="1">kombinatorika!$D$18</definedName>
    <definedName name="solver_opt" localSheetId="4" hidden="1">Kredit!$D$19</definedName>
    <definedName name="solver_opt" localSheetId="5" hidden="1">Nyúl!$E$5</definedName>
    <definedName name="solver_pre" localSheetId="3" hidden="1">0.000001</definedName>
    <definedName name="solver_pre" localSheetId="6" hidden="1">0.000001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4" hidden="1">0.000001</definedName>
    <definedName name="solver_pre" localSheetId="5" hidden="1">0.000001</definedName>
    <definedName name="solver_rbv" localSheetId="3" hidden="1">1</definedName>
    <definedName name="solver_rbv" localSheetId="6" hidden="1">1</definedName>
    <definedName name="solver_rbv" localSheetId="0" hidden="1">1</definedName>
    <definedName name="solver_rbv" localSheetId="1" hidden="1">2</definedName>
    <definedName name="solver_rbv" localSheetId="2" hidden="1">1</definedName>
    <definedName name="solver_rbv" localSheetId="4" hidden="1">2</definedName>
    <definedName name="solver_rbv" localSheetId="5" hidden="1">2</definedName>
    <definedName name="solver_rel1" localSheetId="3" hidden="1">2</definedName>
    <definedName name="solver_rel1" localSheetId="6" hidden="1">2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4" hidden="1">1</definedName>
    <definedName name="solver_rel1" localSheetId="5" hidden="1">3</definedName>
    <definedName name="solver_rel2" localSheetId="3" hidden="1">2</definedName>
    <definedName name="solver_rel2" localSheetId="6" hidden="1">2</definedName>
    <definedName name="solver_rel2" localSheetId="2" hidden="1">3</definedName>
    <definedName name="solver_rel2" localSheetId="4" hidden="1">5</definedName>
    <definedName name="solver_rel3" localSheetId="3" hidden="1">2</definedName>
    <definedName name="solver_rhs1" localSheetId="3" hidden="1">buvosnegyzet!$F$5</definedName>
    <definedName name="solver_rhs1" localSheetId="6" hidden="1">buvosnegyzet2!$G$7</definedName>
    <definedName name="solver_rhs1" localSheetId="0" hidden="1">0</definedName>
    <definedName name="solver_rhs1" localSheetId="1" hidden="1">egyenletrendszer!$G$7:$G$9</definedName>
    <definedName name="solver_rhs1" localSheetId="2" hidden="1">kombinatorika!$D$15:$D$17</definedName>
    <definedName name="solver_rhs1" localSheetId="4" hidden="1">500</definedName>
    <definedName name="solver_rhs1" localSheetId="5" hidden="1">Nyúl!$D$2:$D$4</definedName>
    <definedName name="solver_rhs2" localSheetId="3" hidden="1">buvosnegyzet!$F$5</definedName>
    <definedName name="solver_rhs2" localSheetId="6" hidden="1">buvosnegyzet2!$G$7</definedName>
    <definedName name="solver_rhs2" localSheetId="2" hidden="1">0</definedName>
    <definedName name="solver_rhs2" localSheetId="4" hidden="1">"bináris"</definedName>
    <definedName name="solver_rhs3" localSheetId="3" hidden="1">buvosnegyzet!$F$5</definedName>
    <definedName name="solver_rlx" localSheetId="3" hidden="1">1</definedName>
    <definedName name="solver_rlx" localSheetId="6" hidden="1">2</definedName>
    <definedName name="solver_rlx" localSheetId="0" hidden="1">1</definedName>
    <definedName name="solver_rlx" localSheetId="1" hidden="1">2</definedName>
    <definedName name="solver_rlx" localSheetId="2" hidden="1">1</definedName>
    <definedName name="solver_rlx" localSheetId="4" hidden="1">2</definedName>
    <definedName name="solver_rlx" localSheetId="5" hidden="1">2</definedName>
    <definedName name="solver_rsd" localSheetId="3" hidden="1">0</definedName>
    <definedName name="solver_rsd" localSheetId="6" hidden="1">0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4" hidden="1">0</definedName>
    <definedName name="solver_rsd" localSheetId="5" hidden="1">0</definedName>
    <definedName name="solver_scl" localSheetId="3" hidden="1">2</definedName>
    <definedName name="solver_scl" localSheetId="6" hidden="1">1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cl" localSheetId="4" hidden="1">2</definedName>
    <definedName name="solver_scl" localSheetId="5" hidden="1">2</definedName>
    <definedName name="solver_sho" localSheetId="3" hidden="1">2</definedName>
    <definedName name="solver_sho" localSheetId="6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4" hidden="1">2</definedName>
    <definedName name="solver_sho" localSheetId="5" hidden="1">2</definedName>
    <definedName name="solver_ssz" localSheetId="3" hidden="1">100</definedName>
    <definedName name="solver_ssz" localSheetId="6" hidden="1">100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4" hidden="1">100</definedName>
    <definedName name="solver_ssz" localSheetId="5" hidden="1">100</definedName>
    <definedName name="solver_tim" localSheetId="3" hidden="1">100</definedName>
    <definedName name="solver_tim" localSheetId="6" hidden="1">2147483647</definedName>
    <definedName name="solver_tim" localSheetId="0" hidden="1">100</definedName>
    <definedName name="solver_tim" localSheetId="1" hidden="1">2147483647</definedName>
    <definedName name="solver_tim" localSheetId="2" hidden="1">100</definedName>
    <definedName name="solver_tim" localSheetId="4" hidden="1">2147483647</definedName>
    <definedName name="solver_tim" localSheetId="5" hidden="1">2147483647</definedName>
    <definedName name="solver_tol" localSheetId="3" hidden="1">0.05</definedName>
    <definedName name="solver_tol" localSheetId="6" hidden="1">0.01</definedName>
    <definedName name="solver_tol" localSheetId="0" hidden="1">0.05</definedName>
    <definedName name="solver_tol" localSheetId="1" hidden="1">0.01</definedName>
    <definedName name="solver_tol" localSheetId="2" hidden="1">0.05</definedName>
    <definedName name="solver_tol" localSheetId="4" hidden="1">0.01</definedName>
    <definedName name="solver_tol" localSheetId="5" hidden="1">0.01</definedName>
    <definedName name="solver_typ" localSheetId="3" hidden="1">3</definedName>
    <definedName name="solver_typ" localSheetId="6" hidden="1">3</definedName>
    <definedName name="solver_typ" localSheetId="0" hidden="1">3</definedName>
    <definedName name="solver_typ" localSheetId="1" hidden="1">1</definedName>
    <definedName name="solver_typ" localSheetId="2" hidden="1">1</definedName>
    <definedName name="solver_typ" localSheetId="4" hidden="1">1</definedName>
    <definedName name="solver_typ" localSheetId="5" hidden="1">2</definedName>
    <definedName name="solver_val" localSheetId="3" hidden="1">444</definedName>
    <definedName name="solver_val" localSheetId="6" hidden="1">444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4" hidden="1">0</definedName>
    <definedName name="solver_val" localSheetId="5" hidden="1">0</definedName>
    <definedName name="solver_ver" localSheetId="3" hidden="1">3</definedName>
    <definedName name="solver_ver" localSheetId="6" hidden="1">3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4" hidden="1">3</definedName>
    <definedName name="solver_ver" localSheetId="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8" l="1"/>
  <c r="D19" i="7"/>
  <c r="C19" i="7"/>
  <c r="G8" i="9"/>
  <c r="A8" i="9"/>
  <c r="C8" i="9"/>
  <c r="D8" i="9"/>
  <c r="E8" i="9"/>
  <c r="F8" i="9"/>
  <c r="B8" i="9"/>
  <c r="G3" i="9"/>
  <c r="G4" i="9"/>
  <c r="G5" i="9"/>
  <c r="G6" i="9"/>
  <c r="G7" i="9"/>
  <c r="A8" i="2"/>
  <c r="F8" i="2"/>
  <c r="C8" i="2"/>
  <c r="D8" i="2"/>
  <c r="E8" i="2"/>
  <c r="B8" i="2"/>
  <c r="F4" i="2"/>
  <c r="F6" i="2"/>
  <c r="F7" i="2"/>
  <c r="F5" i="2"/>
  <c r="D16" i="6"/>
  <c r="D17" i="6"/>
  <c r="D15" i="6"/>
  <c r="F8" i="5"/>
  <c r="F9" i="5"/>
  <c r="F7" i="5"/>
  <c r="C7" i="3"/>
  <c r="C3" i="3"/>
  <c r="D18" i="6" l="1"/>
</calcChain>
</file>

<file path=xl/sharedStrings.xml><?xml version="1.0" encoding="utf-8"?>
<sst xmlns="http://schemas.openxmlformats.org/spreadsheetml/2006/main" count="65" uniqueCount="51">
  <si>
    <t>x:</t>
  </si>
  <si>
    <t>Egyenlet:</t>
  </si>
  <si>
    <t>x</t>
  </si>
  <si>
    <t>y</t>
  </si>
  <si>
    <t>z</t>
  </si>
  <si>
    <t>Egyenletrendszer:</t>
  </si>
  <si>
    <t>egyenlet</t>
  </si>
  <si>
    <t>konstans</t>
  </si>
  <si>
    <t>1.</t>
  </si>
  <si>
    <t>2.</t>
  </si>
  <si>
    <t>3.</t>
  </si>
  <si>
    <t>4*(C2)^2+(C2)^3+5*C2-10</t>
  </si>
  <si>
    <t>(C2)^4-13*(C2)^2+36</t>
  </si>
  <si>
    <t>I. és II. könyv</t>
  </si>
  <si>
    <t>I. és III. könyv</t>
  </si>
  <si>
    <t>II. és III. könyv</t>
  </si>
  <si>
    <t>max. db</t>
  </si>
  <si>
    <t>I. könyv:</t>
  </si>
  <si>
    <t>II. könyv:</t>
  </si>
  <si>
    <t>III. könyv:</t>
  </si>
  <si>
    <t>Egyenletek:</t>
  </si>
  <si>
    <t>maximum:</t>
  </si>
  <si>
    <t>variációk:</t>
  </si>
  <si>
    <t>óra</t>
  </si>
  <si>
    <t>kredit</t>
  </si>
  <si>
    <t>Matek</t>
  </si>
  <si>
    <t>Adatok</t>
  </si>
  <si>
    <t>Angol</t>
  </si>
  <si>
    <t>Változók</t>
  </si>
  <si>
    <t>Info</t>
  </si>
  <si>
    <t>Feltételek</t>
  </si>
  <si>
    <t>Közgáz</t>
  </si>
  <si>
    <t>Célfüggvény</t>
  </si>
  <si>
    <t>Tesi</t>
  </si>
  <si>
    <t>Anat</t>
  </si>
  <si>
    <t>Német</t>
  </si>
  <si>
    <t>Mennyiség (kg)</t>
  </si>
  <si>
    <t>Egységár (Ft)</t>
  </si>
  <si>
    <t>Nyersrost (g)</t>
  </si>
  <si>
    <t>Szénhidrát (g)</t>
  </si>
  <si>
    <t>Fehérje (g)</t>
  </si>
  <si>
    <t>Felhasznált (g)</t>
  </si>
  <si>
    <t>Minimum (g)</t>
  </si>
  <si>
    <t>Saláta</t>
  </si>
  <si>
    <t>Répa</t>
  </si>
  <si>
    <t>C7*$B$3+D7*$C$3+E7*$D$3</t>
  </si>
  <si>
    <t>célérték</t>
  </si>
  <si>
    <t>változócella</t>
  </si>
  <si>
    <t>korlátozás amennyi szeretnénk hogy legyen -- &gt; szum  -  teljes összeg</t>
  </si>
  <si>
    <t>változó</t>
  </si>
  <si>
    <t>szorzatösszeg, változó saját adag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</si>
</sst>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0" fontId="0" fillId="0" borderId="0" xfId="0" applyNumberFormat="1"/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2" borderId="0" xfId="0" applyFont="1" applyFill="1"/>
    <xf numFmtId="0" fontId="0" fillId="0" borderId="1" xfId="0" applyBorder="1" applyAlignment="1">
      <alignment horizontal="center"/>
    </xf>
    <xf numFmtId="0" fontId="5" fillId="0" borderId="0" xfId="0" applyFont="1"/>
    <xf numFmtId="1" fontId="0" fillId="0" borderId="0" xfId="0" applyNumberFormat="1"/>
    <xf numFmtId="0" fontId="0" fillId="8" borderId="0" xfId="0" applyFill="1"/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471487</xdr:colOff>
      <xdr:row>0</xdr:row>
      <xdr:rowOff>9525</xdr:rowOff>
    </xdr:from>
    <xdr:ext cx="2912913" cy="1376146"/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21467" y="9525"/>
          <a:ext cx="2912913" cy="137614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hu-HU" sz="1200"/>
            <a:t>Oldja meg a következő egyenleteket a valós</a:t>
          </a:r>
        </a:p>
        <a:p>
          <a:r>
            <a:rPr lang="hu-HU" sz="1200"/>
            <a:t>számok halmazán!</a:t>
          </a:r>
        </a:p>
        <a:p>
          <a:endParaRPr lang="hu-HU" sz="1200"/>
        </a:p>
        <a:p>
          <a:r>
            <a:rPr lang="hu-HU" sz="1200"/>
            <a:t>x⁴+36=13x²</a:t>
          </a:r>
        </a:p>
        <a:p>
          <a:r>
            <a:rPr lang="hu-HU" sz="1200"/>
            <a:t>4x² + x³ + 5x = 10</a:t>
          </a:r>
        </a:p>
        <a:p>
          <a:endParaRPr lang="hu-HU" sz="1100"/>
        </a:p>
        <a:p>
          <a:endParaRPr lang="hu-H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105965</xdr:colOff>
      <xdr:row>0</xdr:row>
      <xdr:rowOff>55959</xdr:rowOff>
    </xdr:from>
    <xdr:ext cx="2964657" cy="1490901"/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373165" y="55959"/>
          <a:ext cx="2964657" cy="149090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hu-HU" sz="1200"/>
            <a:t>Oldja meg a következő egyenletrendszert a valós</a:t>
          </a:r>
        </a:p>
        <a:p>
          <a:r>
            <a:rPr lang="hu-HU" sz="1200"/>
            <a:t>számok halmazán!</a:t>
          </a:r>
        </a:p>
        <a:p>
          <a:endParaRPr lang="hu-HU" sz="1200"/>
        </a:p>
        <a:p>
          <a:r>
            <a:rPr lang="hu-HU" sz="1200"/>
            <a:t>3x – 2y + z = 12</a:t>
          </a:r>
        </a:p>
        <a:p>
          <a:r>
            <a:rPr lang="hu-HU" sz="1200"/>
            <a:t>x + 4y + 2z = 1</a:t>
          </a:r>
        </a:p>
        <a:p>
          <a:r>
            <a:rPr lang="hu-HU" sz="1200"/>
            <a:t>3x + 2y – 3z = 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</xdr:colOff>
      <xdr:row>0</xdr:row>
      <xdr:rowOff>45720</xdr:rowOff>
    </xdr:from>
    <xdr:ext cx="6263640" cy="838200"/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0960" y="45720"/>
          <a:ext cx="6263640" cy="8382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hu-HU" sz="1200"/>
            <a:t>A diákokat év végén könyvjutalomban részesítjük. Egy diák két különböző könyvet kap ajándékba. Összesen háromféle könyv áll rendelkezésünkre. </a:t>
          </a:r>
        </a:p>
        <a:p>
          <a:r>
            <a:rPr lang="hu-HU" sz="1200"/>
            <a:t>Az első típusból 10, a másodikból 12, a harmadikból 14 könyvünk</a:t>
          </a:r>
          <a:r>
            <a:rPr lang="hu-HU" sz="1200" baseline="0"/>
            <a:t> van.</a:t>
          </a:r>
        </a:p>
        <a:p>
          <a:r>
            <a:rPr lang="hu-HU" sz="1200" baseline="0"/>
            <a:t>Hogyan osszuk szét a könyveket, hogy a lehető legtöbb diák kapjon jutalmat?</a:t>
          </a:r>
          <a:endParaRPr lang="hu-HU" sz="12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15240</xdr:rowOff>
    </xdr:from>
    <xdr:ext cx="6957060" cy="1219565"/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C253C831-A0F7-4686-8C4B-0E58DE379CA6}"/>
            </a:ext>
          </a:extLst>
        </xdr:cNvPr>
        <xdr:cNvSpPr txBox="1"/>
      </xdr:nvSpPr>
      <xdr:spPr>
        <a:xfrm>
          <a:off x="0" y="15240"/>
          <a:ext cx="6957060" cy="121956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u-HU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Vizsgaidőszakban egy diáknak csak 500 óra ideje van a készülésre, de maximális kreditpontot szeretne elérni. Hogyan kell választania, ha a lehetőségei a következők?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u-HU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Matematikából 100 óra tanulással 6 kreditpont szerezhető, angolból 20 órával 1 kreditpont.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u-HU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Informatikából 140 óra gyakorlással garantálható a 7 kreditpont, míg az 50 óra közgáz 2 kreditpontot ad.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u-HU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150 óra edzéssel a tesi 4 kreditpontot eredményez.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u-HU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Anatómiábóll 20 óra tanulással 2 kreditpontot, 150 óra német gyakorlással 5 kreditpontot</a:t>
          </a:r>
          <a:r>
            <a:rPr lang="hu-HU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kaphatunk.</a:t>
          </a:r>
          <a:endParaRPr lang="hu-HU" sz="12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6728460" cy="1407437"/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13D33AC0-197F-441A-8109-EE12FC63A0B7}"/>
            </a:ext>
          </a:extLst>
        </xdr:cNvPr>
        <xdr:cNvSpPr txBox="1"/>
      </xdr:nvSpPr>
      <xdr:spPr>
        <a:xfrm>
          <a:off x="5829300" y="0"/>
          <a:ext cx="6728460" cy="140743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r>
            <a:rPr lang="hu-HU" sz="1200"/>
            <a:t>Egy nyúl etetését répával és salátával kell megoldanunk.</a:t>
          </a:r>
        </a:p>
        <a:p>
          <a:r>
            <a:rPr lang="hu-HU" sz="1200"/>
            <a:t>Heti élelmiszer adagjának tartalmaznia kell legalább 24 g fehérjét, 64 g szénhidrátot és 8 g nyersrostot.</a:t>
          </a:r>
        </a:p>
        <a:p>
          <a:r>
            <a:rPr lang="hu-HU" sz="1200"/>
            <a:t>1 kg répában 12 g fehérje, 80 g szénhidrát és 10 g nyersrost van. </a:t>
          </a:r>
        </a:p>
        <a:p>
          <a:r>
            <a:rPr lang="hu-HU" sz="1200"/>
            <a:t>1 kg salátában 18 g fehérje,20 g szénhidrát és 5 g nyersrost van.</a:t>
          </a:r>
        </a:p>
        <a:p>
          <a:r>
            <a:rPr lang="hu-HU" sz="1200"/>
            <a:t>1 kg répa 300 Forintba kerül, míg 1 kg saláta ára 200 Forint.</a:t>
          </a:r>
        </a:p>
        <a:p>
          <a:r>
            <a:rPr lang="hu-HU" sz="1200"/>
            <a:t>Mennyi répát és salátát adjunk a nyúlnak egy héten, hogy az egyes tápanyagokból megkapja a kívánt </a:t>
          </a:r>
        </a:p>
        <a:p>
          <a:r>
            <a:rPr lang="hu-HU" sz="1200"/>
            <a:t>mennyiséget, emellett élelmezése a lehető legolcsóbb legyen?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0"/>
  <sheetViews>
    <sheetView zoomScaleNormal="100" workbookViewId="0">
      <selection activeCell="D2" sqref="D2:D3"/>
    </sheetView>
  </sheetViews>
  <sheetFormatPr defaultRowHeight="14.4" x14ac:dyDescent="0.3"/>
  <cols>
    <col min="1" max="1" width="22.5546875" bestFit="1" customWidth="1"/>
    <col min="2" max="2" width="9.21875" bestFit="1" customWidth="1"/>
    <col min="3" max="3" width="16.6640625" customWidth="1"/>
    <col min="4" max="4" width="10.77734375" bestFit="1" customWidth="1"/>
  </cols>
  <sheetData>
    <row r="2" spans="2:4" x14ac:dyDescent="0.3">
      <c r="B2" s="4" t="s">
        <v>0</v>
      </c>
      <c r="C2" s="4">
        <v>2.0000000137564329</v>
      </c>
      <c r="D2" t="s">
        <v>47</v>
      </c>
    </row>
    <row r="3" spans="2:4" ht="15.6" x14ac:dyDescent="0.3">
      <c r="B3" s="4" t="s">
        <v>1</v>
      </c>
      <c r="C3" s="21">
        <f>C2^4+36-13*C2^2</f>
        <v>-2.7512865585777035E-7</v>
      </c>
      <c r="D3" t="s">
        <v>46</v>
      </c>
    </row>
    <row r="6" spans="2:4" x14ac:dyDescent="0.3">
      <c r="B6" s="4" t="s">
        <v>0</v>
      </c>
      <c r="C6" s="4">
        <v>1.0000000000000002</v>
      </c>
      <c r="D6" t="s">
        <v>47</v>
      </c>
    </row>
    <row r="7" spans="2:4" x14ac:dyDescent="0.3">
      <c r="B7" s="4" t="s">
        <v>1</v>
      </c>
      <c r="C7" s="4">
        <f>4*C6^2+C6^3+5*C6-10</f>
        <v>0</v>
      </c>
      <c r="D7" t="s">
        <v>46</v>
      </c>
    </row>
    <row r="19" spans="1:1" x14ac:dyDescent="0.3">
      <c r="A19" s="11" t="s">
        <v>12</v>
      </c>
    </row>
    <row r="20" spans="1:1" x14ac:dyDescent="0.3">
      <c r="A20" s="6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2"/>
  <sheetViews>
    <sheetView zoomScale="170" zoomScaleNormal="170" workbookViewId="0">
      <selection activeCell="H11" sqref="H11"/>
    </sheetView>
  </sheetViews>
  <sheetFormatPr defaultRowHeight="14.4" x14ac:dyDescent="0.3"/>
  <cols>
    <col min="6" max="6" width="7.88671875" bestFit="1" customWidth="1"/>
  </cols>
  <sheetData>
    <row r="2" spans="2:7" x14ac:dyDescent="0.3">
      <c r="B2" s="2" t="s">
        <v>2</v>
      </c>
      <c r="C2" s="2" t="s">
        <v>3</v>
      </c>
      <c r="D2" s="2" t="s">
        <v>4</v>
      </c>
    </row>
    <row r="3" spans="2:7" x14ac:dyDescent="0.3">
      <c r="B3" s="4">
        <v>3.0000002105263155</v>
      </c>
      <c r="C3" s="4">
        <v>-1.0000001184210525</v>
      </c>
      <c r="D3" s="4">
        <v>1.0000001315789471</v>
      </c>
    </row>
    <row r="5" spans="2:7" x14ac:dyDescent="0.3">
      <c r="B5" s="20" t="s">
        <v>5</v>
      </c>
      <c r="C5" s="20"/>
      <c r="D5" s="20"/>
      <c r="E5" s="20"/>
      <c r="F5" s="20"/>
      <c r="G5" s="20"/>
    </row>
    <row r="6" spans="2:7" x14ac:dyDescent="0.3">
      <c r="B6" s="2"/>
      <c r="C6" s="2" t="s">
        <v>2</v>
      </c>
      <c r="D6" s="2" t="s">
        <v>3</v>
      </c>
      <c r="E6" s="2" t="s">
        <v>4</v>
      </c>
      <c r="F6" s="2" t="s">
        <v>6</v>
      </c>
      <c r="G6" s="2" t="s">
        <v>7</v>
      </c>
    </row>
    <row r="7" spans="2:7" x14ac:dyDescent="0.3">
      <c r="B7" s="2" t="s">
        <v>8</v>
      </c>
      <c r="C7" s="4">
        <v>3</v>
      </c>
      <c r="D7" s="4">
        <v>-2</v>
      </c>
      <c r="E7" s="4">
        <v>1</v>
      </c>
      <c r="F7" s="4">
        <f>SUMPRODUCT($B$3:$D$3,C7:E7)</f>
        <v>12.000000999999997</v>
      </c>
      <c r="G7" s="4">
        <v>12</v>
      </c>
    </row>
    <row r="8" spans="2:7" x14ac:dyDescent="0.3">
      <c r="B8" s="2" t="s">
        <v>9</v>
      </c>
      <c r="C8" s="4">
        <v>1</v>
      </c>
      <c r="D8" s="4">
        <v>4</v>
      </c>
      <c r="E8" s="4">
        <v>2</v>
      </c>
      <c r="F8" s="4">
        <f t="shared" ref="F8:F9" si="0">SUMPRODUCT($B$3:$D$3,C8:E8)</f>
        <v>0.99999999999999956</v>
      </c>
      <c r="G8" s="4">
        <v>1</v>
      </c>
    </row>
    <row r="9" spans="2:7" x14ac:dyDescent="0.3">
      <c r="B9" s="2" t="s">
        <v>10</v>
      </c>
      <c r="C9" s="4">
        <v>3</v>
      </c>
      <c r="D9" s="4">
        <v>2</v>
      </c>
      <c r="E9" s="4">
        <v>-3</v>
      </c>
      <c r="F9" s="4">
        <f t="shared" si="0"/>
        <v>3.9999999999999991</v>
      </c>
      <c r="G9" s="4">
        <v>4</v>
      </c>
    </row>
    <row r="12" spans="2:7" x14ac:dyDescent="0.3">
      <c r="D12" t="s">
        <v>45</v>
      </c>
    </row>
  </sheetData>
  <mergeCells count="1">
    <mergeCell ref="B5:G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G18"/>
  <sheetViews>
    <sheetView zoomScaleNormal="100" workbookViewId="0">
      <selection activeCell="J12" sqref="J12"/>
    </sheetView>
  </sheetViews>
  <sheetFormatPr defaultColWidth="9.109375" defaultRowHeight="15.6" x14ac:dyDescent="0.3"/>
  <cols>
    <col min="1" max="1" width="8" style="10" bestFit="1" customWidth="1"/>
    <col min="2" max="3" width="9.109375" style="5"/>
    <col min="4" max="4" width="12.44140625" style="5" bestFit="1" customWidth="1"/>
    <col min="5" max="5" width="13.109375" style="5" bestFit="1" customWidth="1"/>
    <col min="6" max="6" width="13.77734375" style="5" bestFit="1" customWidth="1"/>
    <col min="7" max="16384" width="9.109375" style="5"/>
  </cols>
  <sheetData>
    <row r="7" spans="3:7" x14ac:dyDescent="0.3">
      <c r="C7"/>
      <c r="D7" s="7" t="s">
        <v>13</v>
      </c>
      <c r="E7" s="7" t="s">
        <v>14</v>
      </c>
      <c r="F7" s="7" t="s">
        <v>15</v>
      </c>
      <c r="G7"/>
    </row>
    <row r="8" spans="3:7" x14ac:dyDescent="0.3">
      <c r="C8" s="8" t="s">
        <v>22</v>
      </c>
      <c r="D8" s="22">
        <v>3.999999476837159</v>
      </c>
      <c r="E8" s="22">
        <v>5.9999995231628418</v>
      </c>
      <c r="F8" s="22">
        <v>7.9999995231628418</v>
      </c>
      <c r="G8"/>
    </row>
    <row r="9" spans="3:7" x14ac:dyDescent="0.3">
      <c r="C9" s="8"/>
      <c r="D9"/>
      <c r="E9"/>
      <c r="F9"/>
      <c r="G9" t="s">
        <v>16</v>
      </c>
    </row>
    <row r="10" spans="3:7" x14ac:dyDescent="0.3">
      <c r="C10" s="8" t="s">
        <v>17</v>
      </c>
      <c r="D10">
        <v>1</v>
      </c>
      <c r="E10">
        <v>1</v>
      </c>
      <c r="F10">
        <v>0</v>
      </c>
      <c r="G10" s="1">
        <v>10</v>
      </c>
    </row>
    <row r="11" spans="3:7" x14ac:dyDescent="0.3">
      <c r="C11" s="8" t="s">
        <v>18</v>
      </c>
      <c r="D11">
        <v>1</v>
      </c>
      <c r="E11">
        <v>0</v>
      </c>
      <c r="F11">
        <v>1</v>
      </c>
      <c r="G11" s="1">
        <v>12</v>
      </c>
    </row>
    <row r="12" spans="3:7" x14ac:dyDescent="0.3">
      <c r="C12" s="8" t="s">
        <v>19</v>
      </c>
      <c r="D12">
        <v>0</v>
      </c>
      <c r="E12">
        <v>1</v>
      </c>
      <c r="F12">
        <v>1</v>
      </c>
      <c r="G12" s="1">
        <v>14</v>
      </c>
    </row>
    <row r="13" spans="3:7" x14ac:dyDescent="0.3">
      <c r="C13" s="8"/>
      <c r="D13"/>
      <c r="E13"/>
      <c r="F13"/>
      <c r="G13"/>
    </row>
    <row r="14" spans="3:7" x14ac:dyDescent="0.3">
      <c r="C14" s="9" t="s">
        <v>20</v>
      </c>
      <c r="D14"/>
      <c r="E14"/>
      <c r="F14"/>
      <c r="G14"/>
    </row>
    <row r="15" spans="3:7" x14ac:dyDescent="0.3">
      <c r="C15" s="8" t="s">
        <v>17</v>
      </c>
      <c r="D15" s="22">
        <f>SUMPRODUCT(D10:F10,$D$8:$F$8)</f>
        <v>9.9999990000000007</v>
      </c>
      <c r="E15"/>
      <c r="F15"/>
      <c r="G15"/>
    </row>
    <row r="16" spans="3:7" x14ac:dyDescent="0.3">
      <c r="C16" s="8" t="s">
        <v>18</v>
      </c>
      <c r="D16" s="22">
        <f t="shared" ref="D16:D17" si="0">SUMPRODUCT(D11:F11,$D$8:$F$8)</f>
        <v>11.999999000000001</v>
      </c>
      <c r="E16"/>
      <c r="F16"/>
      <c r="G16"/>
    </row>
    <row r="17" spans="3:7" x14ac:dyDescent="0.3">
      <c r="C17" s="8" t="s">
        <v>19</v>
      </c>
      <c r="D17" s="22">
        <f t="shared" si="0"/>
        <v>13.999999046325684</v>
      </c>
      <c r="E17"/>
      <c r="F17"/>
      <c r="G17"/>
    </row>
    <row r="18" spans="3:7" x14ac:dyDescent="0.3">
      <c r="C18" s="8" t="s">
        <v>21</v>
      </c>
      <c r="D18" s="22">
        <f>SUM(D15:D17)</f>
        <v>35.999997046325689</v>
      </c>
      <c r="E18"/>
      <c r="F18"/>
      <c r="G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H104"/>
  <sheetViews>
    <sheetView zoomScale="140" zoomScaleNormal="140" workbookViewId="0">
      <selection activeCell="H5" sqref="H5"/>
    </sheetView>
  </sheetViews>
  <sheetFormatPr defaultRowHeight="14.4" x14ac:dyDescent="0.3"/>
  <cols>
    <col min="1" max="5" width="4.77734375" customWidth="1"/>
  </cols>
  <sheetData>
    <row r="4" spans="1:8" x14ac:dyDescent="0.3">
      <c r="B4" s="3">
        <v>21</v>
      </c>
      <c r="C4" s="2">
        <v>188.99999899999997</v>
      </c>
      <c r="D4" s="2">
        <v>176.99999999999997</v>
      </c>
      <c r="E4" s="3">
        <v>57</v>
      </c>
      <c r="F4">
        <f>SUM(B4:E4)</f>
        <v>443.99999899999995</v>
      </c>
      <c r="H4" t="s">
        <v>48</v>
      </c>
    </row>
    <row r="5" spans="1:8" x14ac:dyDescent="0.3">
      <c r="B5" s="3">
        <v>153</v>
      </c>
      <c r="C5" s="3">
        <v>81</v>
      </c>
      <c r="D5" s="3">
        <v>93</v>
      </c>
      <c r="E5" s="3">
        <v>117</v>
      </c>
      <c r="F5">
        <f>SUM(B5:E5)</f>
        <v>444</v>
      </c>
    </row>
    <row r="6" spans="1:8" x14ac:dyDescent="0.3">
      <c r="B6" s="2">
        <v>104.99999800000003</v>
      </c>
      <c r="C6" s="2">
        <v>129.00000100000003</v>
      </c>
      <c r="D6" s="2">
        <v>141.00000099999997</v>
      </c>
      <c r="E6" s="2">
        <v>69.000001000000026</v>
      </c>
      <c r="F6">
        <f>SUM(B6:E6)</f>
        <v>444.000001</v>
      </c>
    </row>
    <row r="7" spans="1:8" x14ac:dyDescent="0.3">
      <c r="B7" s="3">
        <v>165</v>
      </c>
      <c r="C7" s="2">
        <v>45.000001000000005</v>
      </c>
      <c r="D7" s="3">
        <v>33</v>
      </c>
      <c r="E7" s="3">
        <v>201</v>
      </c>
      <c r="F7">
        <f>SUM(B7:E7)</f>
        <v>444.000001</v>
      </c>
    </row>
    <row r="8" spans="1:8" x14ac:dyDescent="0.3">
      <c r="A8" s="23">
        <f>SUM(B7,C6,D5,E4)</f>
        <v>444.000001</v>
      </c>
      <c r="B8">
        <f>SUM(B4:B7)</f>
        <v>443.99999800000001</v>
      </c>
      <c r="C8">
        <f t="shared" ref="C8:E8" si="0">SUM(C4:C7)</f>
        <v>444.000001</v>
      </c>
      <c r="D8">
        <f t="shared" si="0"/>
        <v>444.000001</v>
      </c>
      <c r="E8">
        <f t="shared" si="0"/>
        <v>444.000001</v>
      </c>
      <c r="F8" s="23">
        <f>SUM(E7,D6,C5,B4)</f>
        <v>444.000001</v>
      </c>
    </row>
    <row r="100" spans="1:5" x14ac:dyDescent="0.3">
      <c r="A100" s="3">
        <v>11</v>
      </c>
      <c r="B100" s="3">
        <v>24</v>
      </c>
      <c r="C100" s="3">
        <v>7</v>
      </c>
      <c r="D100" s="3">
        <v>20</v>
      </c>
      <c r="E100" s="3">
        <v>3</v>
      </c>
    </row>
    <row r="101" spans="1:5" x14ac:dyDescent="0.3">
      <c r="A101" s="3">
        <v>4</v>
      </c>
      <c r="D101" s="3">
        <v>8</v>
      </c>
      <c r="E101" s="3">
        <v>16</v>
      </c>
    </row>
    <row r="102" spans="1:5" x14ac:dyDescent="0.3">
      <c r="B102" s="3">
        <v>5</v>
      </c>
      <c r="C102" s="3">
        <v>13</v>
      </c>
    </row>
    <row r="103" spans="1:5" x14ac:dyDescent="0.3">
      <c r="A103" s="3">
        <v>10</v>
      </c>
      <c r="C103" s="3">
        <v>1</v>
      </c>
    </row>
    <row r="104" spans="1:5" x14ac:dyDescent="0.3">
      <c r="A104" s="3">
        <v>23</v>
      </c>
      <c r="B104" s="3">
        <v>6</v>
      </c>
      <c r="C104" s="3">
        <v>19</v>
      </c>
      <c r="D104" s="3">
        <v>2</v>
      </c>
      <c r="E104" s="3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F9CF-43F6-4433-A02B-E38BEC548F97}">
  <dimension ref="A9:L19"/>
  <sheetViews>
    <sheetView zoomScale="110" zoomScaleNormal="110" workbookViewId="0">
      <selection activeCell="G21" sqref="G21"/>
    </sheetView>
  </sheetViews>
  <sheetFormatPr defaultRowHeight="14.4" x14ac:dyDescent="0.3"/>
  <cols>
    <col min="7" max="7" width="12" bestFit="1" customWidth="1"/>
  </cols>
  <sheetData>
    <row r="9" spans="1:12" x14ac:dyDescent="0.3">
      <c r="C9" t="s">
        <v>23</v>
      </c>
      <c r="D9" t="s">
        <v>24</v>
      </c>
    </row>
    <row r="10" spans="1:12" x14ac:dyDescent="0.3">
      <c r="C10">
        <v>500</v>
      </c>
      <c r="E10" t="s">
        <v>49</v>
      </c>
    </row>
    <row r="11" spans="1:12" x14ac:dyDescent="0.3">
      <c r="A11" t="s">
        <v>25</v>
      </c>
      <c r="C11" s="12">
        <v>100</v>
      </c>
      <c r="D11" s="12">
        <v>6</v>
      </c>
      <c r="E11" s="13">
        <v>1</v>
      </c>
      <c r="F11" s="14"/>
      <c r="G11" s="15" t="s">
        <v>26</v>
      </c>
      <c r="L11" s="14"/>
    </row>
    <row r="12" spans="1:12" x14ac:dyDescent="0.3">
      <c r="A12" t="s">
        <v>27</v>
      </c>
      <c r="C12" s="12">
        <v>20</v>
      </c>
      <c r="D12" s="12">
        <v>1</v>
      </c>
      <c r="E12" s="13">
        <v>1</v>
      </c>
      <c r="F12" s="14"/>
      <c r="G12" s="16" t="s">
        <v>28</v>
      </c>
      <c r="L12" s="14"/>
    </row>
    <row r="13" spans="1:12" x14ac:dyDescent="0.3">
      <c r="A13" t="s">
        <v>29</v>
      </c>
      <c r="C13" s="12">
        <v>140</v>
      </c>
      <c r="D13" s="12">
        <v>7</v>
      </c>
      <c r="E13" s="13">
        <v>1</v>
      </c>
      <c r="F13" s="14"/>
      <c r="G13" s="17" t="s">
        <v>30</v>
      </c>
      <c r="L13" s="14"/>
    </row>
    <row r="14" spans="1:12" x14ac:dyDescent="0.3">
      <c r="A14" t="s">
        <v>31</v>
      </c>
      <c r="C14" s="12">
        <v>50</v>
      </c>
      <c r="D14" s="12">
        <v>2</v>
      </c>
      <c r="E14" s="13">
        <v>1</v>
      </c>
      <c r="F14" s="14"/>
      <c r="G14" s="18" t="s">
        <v>32</v>
      </c>
      <c r="L14" s="14"/>
    </row>
    <row r="15" spans="1:12" x14ac:dyDescent="0.3">
      <c r="A15" t="s">
        <v>33</v>
      </c>
      <c r="C15" s="12">
        <v>150</v>
      </c>
      <c r="D15" s="12">
        <v>4</v>
      </c>
      <c r="E15" s="13">
        <v>0</v>
      </c>
      <c r="F15" s="14"/>
      <c r="L15" s="14"/>
    </row>
    <row r="16" spans="1:12" x14ac:dyDescent="0.3">
      <c r="A16" t="s">
        <v>34</v>
      </c>
      <c r="C16" s="12">
        <v>20</v>
      </c>
      <c r="D16" s="12">
        <v>2</v>
      </c>
      <c r="E16" s="13">
        <v>1</v>
      </c>
      <c r="F16" s="14"/>
      <c r="L16" s="14"/>
    </row>
    <row r="17" spans="1:12" x14ac:dyDescent="0.3">
      <c r="A17" t="s">
        <v>35</v>
      </c>
      <c r="C17" s="12">
        <v>150</v>
      </c>
      <c r="D17" s="12">
        <v>5</v>
      </c>
      <c r="E17" s="13">
        <v>1</v>
      </c>
      <c r="F17" s="14"/>
      <c r="L17" s="14"/>
    </row>
    <row r="19" spans="1:12" x14ac:dyDescent="0.3">
      <c r="C19" s="17">
        <f>SUMPRODUCT($E$11:$E$17,C11:C17)</f>
        <v>480</v>
      </c>
      <c r="D19" s="18">
        <f>SUMPRODUCT($E$11:$E$17,D11:D17)</f>
        <v>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012D-6F9F-4019-B3CA-646BD5D4D5F7}">
  <dimension ref="A1:I10"/>
  <sheetViews>
    <sheetView tabSelected="1" workbookViewId="0">
      <selection activeCell="F8" sqref="F8"/>
    </sheetView>
  </sheetViews>
  <sheetFormatPr defaultRowHeight="14.4" x14ac:dyDescent="0.3"/>
  <cols>
    <col min="1" max="1" width="14.77734375" bestFit="1" customWidth="1"/>
    <col min="2" max="2" width="5.109375" bestFit="1" customWidth="1"/>
    <col min="3" max="3" width="6" bestFit="1" customWidth="1"/>
    <col min="4" max="4" width="12.44140625" bestFit="1" customWidth="1"/>
    <col min="5" max="5" width="14" bestFit="1" customWidth="1"/>
    <col min="7" max="7" width="11.44140625" bestFit="1" customWidth="1"/>
  </cols>
  <sheetData>
    <row r="1" spans="1:9" x14ac:dyDescent="0.3">
      <c r="A1" s="1"/>
      <c r="B1" s="1" t="s">
        <v>44</v>
      </c>
      <c r="C1" s="1" t="s">
        <v>43</v>
      </c>
      <c r="D1" s="1" t="s">
        <v>42</v>
      </c>
      <c r="E1" s="1" t="s">
        <v>41</v>
      </c>
      <c r="F1" s="1"/>
      <c r="G1" s="1"/>
      <c r="H1" s="1"/>
      <c r="I1" s="1"/>
    </row>
    <row r="2" spans="1:9" x14ac:dyDescent="0.3">
      <c r="A2" s="1" t="s">
        <v>40</v>
      </c>
      <c r="B2" s="24">
        <v>12</v>
      </c>
      <c r="C2" s="24">
        <v>18</v>
      </c>
      <c r="D2" s="24">
        <v>24</v>
      </c>
      <c r="E2" s="25">
        <v>138</v>
      </c>
      <c r="F2" s="1"/>
      <c r="G2" s="15" t="s">
        <v>26</v>
      </c>
      <c r="H2" s="1"/>
      <c r="I2" s="1"/>
    </row>
    <row r="3" spans="1:9" x14ac:dyDescent="0.3">
      <c r="A3" s="1" t="s">
        <v>39</v>
      </c>
      <c r="B3" s="24">
        <v>80</v>
      </c>
      <c r="C3" s="24">
        <v>20</v>
      </c>
      <c r="D3" s="24">
        <v>64</v>
      </c>
      <c r="E3" s="25">
        <v>420</v>
      </c>
      <c r="F3" s="1"/>
      <c r="G3" s="16" t="s">
        <v>28</v>
      </c>
      <c r="H3" s="1"/>
      <c r="I3" s="1"/>
    </row>
    <row r="4" spans="1:9" x14ac:dyDescent="0.3">
      <c r="A4" s="1" t="s">
        <v>38</v>
      </c>
      <c r="B4" s="24">
        <v>10</v>
      </c>
      <c r="C4" s="24">
        <v>5</v>
      </c>
      <c r="D4" s="24">
        <v>8</v>
      </c>
      <c r="E4" s="25">
        <v>65</v>
      </c>
      <c r="F4" s="1"/>
      <c r="G4" s="17" t="s">
        <v>30</v>
      </c>
      <c r="H4" s="1"/>
      <c r="I4" s="1"/>
    </row>
    <row r="5" spans="1:9" x14ac:dyDescent="0.3">
      <c r="A5" s="1" t="s">
        <v>37</v>
      </c>
      <c r="B5" s="24">
        <v>300</v>
      </c>
      <c r="C5" s="24">
        <v>200</v>
      </c>
      <c r="D5" s="1"/>
      <c r="E5" s="27">
        <f>SUMPRODUCT(B5:C5,B6:C6)</f>
        <v>0</v>
      </c>
      <c r="F5" s="1"/>
      <c r="G5" s="18" t="s">
        <v>32</v>
      </c>
      <c r="H5" s="1"/>
      <c r="I5" s="1"/>
    </row>
    <row r="6" spans="1:9" x14ac:dyDescent="0.3">
      <c r="A6" s="1" t="s">
        <v>36</v>
      </c>
      <c r="B6" s="26">
        <v>0</v>
      </c>
      <c r="C6" s="26">
        <v>0</v>
      </c>
      <c r="D6" s="1"/>
      <c r="E6" s="28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10" spans="1:9" x14ac:dyDescent="0.3">
      <c r="A10" t="s">
        <v>50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53B2-E6D4-4767-910B-C2C9F77268B0}">
  <dimension ref="A3:G8"/>
  <sheetViews>
    <sheetView workbookViewId="0">
      <selection activeCell="F8" sqref="F8"/>
    </sheetView>
  </sheetViews>
  <sheetFormatPr defaultRowHeight="14.4" x14ac:dyDescent="0.3"/>
  <sheetData>
    <row r="3" spans="1:7" x14ac:dyDescent="0.3">
      <c r="B3" s="19">
        <v>11</v>
      </c>
      <c r="C3" s="19">
        <v>24</v>
      </c>
      <c r="D3" s="19">
        <v>7</v>
      </c>
      <c r="E3" s="19">
        <v>20</v>
      </c>
      <c r="F3" s="19">
        <v>3</v>
      </c>
      <c r="G3">
        <f t="shared" ref="G3:G6" si="0">SUM(B3:F3)</f>
        <v>65</v>
      </c>
    </row>
    <row r="4" spans="1:7" x14ac:dyDescent="0.3">
      <c r="B4" s="19">
        <v>4</v>
      </c>
      <c r="C4">
        <v>18.435822659019813</v>
      </c>
      <c r="D4">
        <v>18.564205340980187</v>
      </c>
      <c r="E4" s="19">
        <v>8</v>
      </c>
      <c r="F4" s="19">
        <v>16</v>
      </c>
      <c r="G4">
        <f t="shared" si="0"/>
        <v>65.000028</v>
      </c>
    </row>
    <row r="5" spans="1:7" x14ac:dyDescent="0.3">
      <c r="B5">
        <v>15.666666666666707</v>
      </c>
      <c r="C5" s="19">
        <v>5</v>
      </c>
      <c r="D5" s="19">
        <v>13</v>
      </c>
      <c r="E5">
        <v>15.666666666666707</v>
      </c>
      <c r="F5">
        <v>15.666666666666707</v>
      </c>
      <c r="G5">
        <f t="shared" si="0"/>
        <v>65.000000000000114</v>
      </c>
    </row>
    <row r="6" spans="1:7" x14ac:dyDescent="0.3">
      <c r="B6" s="19">
        <v>10</v>
      </c>
      <c r="C6">
        <v>18</v>
      </c>
      <c r="D6" s="19">
        <v>1</v>
      </c>
      <c r="E6">
        <v>7.5641773409801889</v>
      </c>
      <c r="F6">
        <v>28.435822659019813</v>
      </c>
      <c r="G6">
        <f t="shared" si="0"/>
        <v>65</v>
      </c>
    </row>
    <row r="7" spans="1:7" x14ac:dyDescent="0.3">
      <c r="B7" s="19">
        <v>23</v>
      </c>
      <c r="C7" s="19">
        <v>6</v>
      </c>
      <c r="D7" s="19">
        <v>19</v>
      </c>
      <c r="E7" s="19">
        <v>2</v>
      </c>
      <c r="F7" s="19">
        <v>15</v>
      </c>
      <c r="G7">
        <f>SUM(B7:F7)</f>
        <v>65</v>
      </c>
    </row>
    <row r="8" spans="1:7" x14ac:dyDescent="0.3">
      <c r="A8">
        <f>SUM(B7,C6,D5,E4,F3)</f>
        <v>65</v>
      </c>
      <c r="B8">
        <f>SUM(B7:F7)</f>
        <v>65</v>
      </c>
      <c r="C8">
        <f t="shared" ref="C8:F8" si="1">SUM(C7:G7)</f>
        <v>107</v>
      </c>
      <c r="D8">
        <f t="shared" si="1"/>
        <v>101</v>
      </c>
      <c r="E8">
        <f t="shared" si="1"/>
        <v>82</v>
      </c>
      <c r="F8">
        <f t="shared" si="1"/>
        <v>80</v>
      </c>
      <c r="G8">
        <f>SUM(B3,C4,D5,E6,F7)</f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egyenletek</vt:lpstr>
      <vt:lpstr>egyenletrendszer</vt:lpstr>
      <vt:lpstr>kombinatorika</vt:lpstr>
      <vt:lpstr>buvosnegyzet</vt:lpstr>
      <vt:lpstr>Kredit</vt:lpstr>
      <vt:lpstr>Nyúl</vt:lpstr>
      <vt:lpstr>buvosnegyzet2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Sándor Zoltán</dc:creator>
  <cp:lastModifiedBy>Polyák Panna Dorka</cp:lastModifiedBy>
  <dcterms:created xsi:type="dcterms:W3CDTF">2015-02-08T11:24:12Z</dcterms:created>
  <dcterms:modified xsi:type="dcterms:W3CDTF">2026-10-08T08:26:23Z</dcterms:modified>
</cp:coreProperties>
</file>